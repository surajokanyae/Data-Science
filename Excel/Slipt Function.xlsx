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<sst xmlns="http://schemas.openxmlformats.org/spreadsheetml/2006/main" count="3" uniqueCount="3">
  <si>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First word</t>
  </si>
  <si>
    <t>Last number</t>
  </si>
  <si>
    <t>Last 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</si>
</sst>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88"/>
  </cols>
  <sheetData>
    <row r="1">
      <c r="A1" s="1" t="str">
        <f>IFERROR(__xludf.DUMMYFUNCTION("IMPORTFEED(""https://rss.nytimes.com/services/xml/rss/nyt/Education.xml"", ""items title"", TRUE)"),"Title")</f>
        <v>Title</v>
      </c>
      <c r="B1" s="2" t="s">
        <v>0</v>
      </c>
      <c r="C1" s="2" t="s">
        <v>1</v>
      </c>
      <c r="D1" s="2" t="s">
        <v>2</v>
      </c>
    </row>
    <row r="2">
      <c r="A2" s="1" t="str">
        <f>IFERROR(__xludf.DUMMYFUNCTION("""COMPUTED_VALUE"""),"Brown Canceled Classes and Exams for the Rest of the Semester")</f>
        <v>Brown Canceled Classes and Exams for the Rest of the Semester</v>
      </c>
      <c r="B2" s="1" t="str">
        <f>IFERROR(__xludf.DUMMYFUNCTION("INDEX(SPLIT(A2, "" ""), 1)"),"Brown")</f>
        <v>Brown</v>
      </c>
      <c r="C2" s="1">
        <f>IFERROR(__xludf.DUMMYFUNCTION("COUNTA(SPLIT(A2, "" ""))"),11.0)</f>
        <v>11</v>
      </c>
      <c r="D2" s="1" t="str">
        <f>IFERROR(__xludf.DUMMYFUNCTION("INDEX(SPLIT(A2, "" ""), COUNTA(SPLIT(A2, "" "")))"),"Semester")</f>
        <v>Semester</v>
      </c>
    </row>
    <row r="3">
      <c r="A3" s="1" t="str">
        <f>IFERROR(__xludf.DUMMYFUNCTION("""COMPUTED_VALUE"""),"Gunshots, Sirens and a Manhunt Transform Brown’s Campus")</f>
        <v>Gunshots, Sirens and a Manhunt Transform Brown’s Campus</v>
      </c>
      <c r="B3" s="1" t="str">
        <f>IFERROR(__xludf.DUMMYFUNCTION("INDEX(SPLIT(A3, "" ""), 1)"),"Gunshots,")</f>
        <v>Gunshots,</v>
      </c>
      <c r="C3" s="1">
        <f>IFERROR(__xludf.DUMMYFUNCTION("COUNTA(SPLIT(A3, "" ""))"),8.0)</f>
        <v>8</v>
      </c>
      <c r="D3" s="1" t="str">
        <f>IFERROR(__xludf.DUMMYFUNCTION("INDEX(SPLIT(A3, "" ""), COUNTA(SPLIT(A3, "" "")))"),"Campus")</f>
        <v>Campus</v>
      </c>
      <c r="G3" s="2">
        <v>3.0</v>
      </c>
      <c r="H3" s="2">
        <v>6.0</v>
      </c>
    </row>
    <row r="4">
      <c r="A4" s="1" t="str">
        <f>IFERROR(__xludf.DUMMYFUNCTION("""COMPUTED_VALUE"""),"What We Know About the Brown University Shooting")</f>
        <v>What We Know About the Brown University Shooting</v>
      </c>
      <c r="B4" s="1" t="str">
        <f>IFERROR(__xludf.DUMMYFUNCTION("INDEX(SPLIT(A4, "" ""), 1)"),"What")</f>
        <v>What</v>
      </c>
      <c r="C4" s="1">
        <f>IFERROR(__xludf.DUMMYFUNCTION("COUNTA(SPLIT(A4, "" ""))"),8.0)</f>
        <v>8</v>
      </c>
      <c r="D4" s="1" t="str">
        <f>IFERROR(__xludf.DUMMYFUNCTION("INDEX(SPLIT(A4, "" ""), COUNTA(SPLIT(A4, "" "")))"),"Shooting")</f>
        <v>Shooting</v>
      </c>
      <c r="G4" s="2">
        <v>4.0</v>
      </c>
    </row>
    <row r="5">
      <c r="A5" s="1" t="str">
        <f>IFERROR(__xludf.DUMMYFUNCTION("""COMPUTED_VALUE"""),"What to Know About Brown University")</f>
        <v>What to Know About Brown University</v>
      </c>
      <c r="B5" s="1" t="str">
        <f>IFERROR(__xludf.DUMMYFUNCTION("INDEX(SPLIT(A5, "" ""), 1)"),"What")</f>
        <v>What</v>
      </c>
      <c r="C5" s="1">
        <f>IFERROR(__xludf.DUMMYFUNCTION("COUNTA(SPLIT(A5, "" ""))"),6.0)</f>
        <v>6</v>
      </c>
      <c r="D5" s="1" t="str">
        <f>IFERROR(__xludf.DUMMYFUNCTION("INDEX(SPLIT(A5, "" ""), COUNTA(SPLIT(A5, "" "")))"),"University")</f>
        <v>University</v>
      </c>
      <c r="G5" s="2">
        <v>6.0</v>
      </c>
    </row>
    <row r="6">
      <c r="A6" s="1" t="str">
        <f>IFERROR(__xludf.DUMMYFUNCTION("""COMPUTED_VALUE"""),"University of Maryland President Cleared of Plagiarism")</f>
        <v>University of Maryland President Cleared of Plagiarism</v>
      </c>
      <c r="B6" s="1" t="str">
        <f>IFERROR(__xludf.DUMMYFUNCTION("INDEX(SPLIT(A6, "" ""), 1)"),"University")</f>
        <v>University</v>
      </c>
      <c r="C6" s="1">
        <f>IFERROR(__xludf.DUMMYFUNCTION("COUNTA(SPLIT(A6, "" ""))"),7.0)</f>
        <v>7</v>
      </c>
      <c r="D6" s="1" t="str">
        <f>IFERROR(__xludf.DUMMYFUNCTION("INDEX(SPLIT(A6, "" ""), COUNTA(SPLIT(A6, "" "")))"),"Plagiarism")</f>
        <v>Plagiarism</v>
      </c>
    </row>
    <row r="7">
      <c r="A7" s="1" t="str">
        <f>IFERROR(__xludf.DUMMYFUNCTION("""COMPUTED_VALUE"""),"Paul Grimstad, a Yale Professor, Is in “One Battle After Another” and “Marty Supreme""")</f>
        <v>Paul Grimstad, a Yale Professor, Is in “One Battle After Another” and “Marty Supreme"</v>
      </c>
      <c r="B7" s="1" t="str">
        <f>IFERROR(__xludf.DUMMYFUNCTION("INDEX(SPLIT(A7, "" ""), 1)"),"Paul")</f>
        <v>Paul</v>
      </c>
      <c r="C7" s="1">
        <f>IFERROR(__xludf.DUMMYFUNCTION("COUNTA(SPLIT(A7, "" ""))"),14.0)</f>
        <v>14</v>
      </c>
      <c r="D7" s="1" t="str">
        <f>IFERROR(__xludf.DUMMYFUNCTION("INDEX(SPLIT(A7, "" ""), COUNTA(SPLIT(A7, "" "")))"),"Supreme""")</f>
        <v>Supreme"</v>
      </c>
    </row>
    <row r="8">
      <c r="A8" s="1" t="str">
        <f>IFERROR(__xludf.DUMMYFUNCTION("""COMPUTED_VALUE"""),"We Should Teach Our Students How to Think, Not What to Believe")</f>
        <v>We Should Teach Our Students How to Think, Not What to Believe</v>
      </c>
      <c r="B8" s="1" t="str">
        <f>IFERROR(__xludf.DUMMYFUNCTION("INDEX(SPLIT(A8, "" ""), 1)"),"We")</f>
        <v>We</v>
      </c>
      <c r="C8" s="1">
        <f>IFERROR(__xludf.DUMMYFUNCTION("COUNTA(SPLIT(A8, "" ""))"),12.0)</f>
        <v>12</v>
      </c>
      <c r="D8" s="1" t="str">
        <f>IFERROR(__xludf.DUMMYFUNCTION("INDEX(SPLIT(A8, "" ""), COUNTA(SPLIT(A8, "" "")))"),"Believe")</f>
        <v>Believe</v>
      </c>
    </row>
    <row r="9">
      <c r="A9" s="1" t="str">
        <f>IFERROR(__xludf.DUMMYFUNCTION("""COMPUTED_VALUE"""),"Korea’s English Exam Was So Hard It Prompted an Apology. How Would You Do?")</f>
        <v>Korea’s English Exam Was So Hard It Prompted an Apology. How Would You Do?</v>
      </c>
      <c r="B9" s="1" t="str">
        <f>IFERROR(__xludf.DUMMYFUNCTION("INDEX(SPLIT(A9, "" ""), 1)"),"Korea’s")</f>
        <v>Korea’s</v>
      </c>
      <c r="C9" s="1">
        <f>IFERROR(__xludf.DUMMYFUNCTION("COUNTA(SPLIT(A9, "" ""))"),14.0)</f>
        <v>14</v>
      </c>
      <c r="D9" s="1" t="str">
        <f>IFERROR(__xludf.DUMMYFUNCTION("INDEX(SPLIT(A9, "" ""), COUNTA(SPLIT(A9, "" "")))"),"Do?")</f>
        <v>Do?</v>
      </c>
    </row>
    <row r="10">
      <c r="A10" s="1" t="str">
        <f>IFERROR(__xludf.DUMMYFUNCTION("""COMPUTED_VALUE"""),"Harvard Replaces Leader of Health Center Said to Have Focused on Palestinians")</f>
        <v>Harvard Replaces Leader of Health Center Said to Have Focused on Palestinians</v>
      </c>
      <c r="B10" s="1" t="str">
        <f>IFERROR(__xludf.DUMMYFUNCTION("INDEX(SPLIT(A10, "" ""), 1)"),"Harvard")</f>
        <v>Harvard</v>
      </c>
      <c r="C10" s="1">
        <f>IFERROR(__xludf.DUMMYFUNCTION("COUNTA(SPLIT(A10, "" ""))"),12.0)</f>
        <v>12</v>
      </c>
      <c r="D10" s="1" t="str">
        <f>IFERROR(__xludf.DUMMYFUNCTION("INDEX(SPLIT(A10, "" ""), COUNTA(SPLIT(A10, "" "")))"),"Palestinians")</f>
        <v>Palestinians</v>
      </c>
    </row>
    <row r="11">
      <c r="A11" s="1" t="str">
        <f>IFERROR(__xludf.DUMMYFUNCTION("""COMPUTED_VALUE"""),"Paul Grimstad, a Yale Professor, Is in “One Battle After Another” and “Marty Supreme""")</f>
        <v>Paul Grimstad, a Yale Professor, Is in “One Battle After Another” and “Marty Supreme"</v>
      </c>
      <c r="B11" s="1" t="str">
        <f>IFERROR(__xludf.DUMMYFUNCTION("INDEX(SPLIT(A11, "" ""), 1)"),"Paul")</f>
        <v>Paul</v>
      </c>
      <c r="C11" s="1">
        <f>IFERROR(__xludf.DUMMYFUNCTION("COUNTA(SPLIT(A11, "" ""))"),14.0)</f>
        <v>14</v>
      </c>
      <c r="D11" s="1" t="str">
        <f>IFERROR(__xludf.DUMMYFUNCTION("INDEX(SPLIT(A11, "" ""), COUNTA(SPLIT(A11, "" "")))"),"Supreme""")</f>
        <v>Supreme"</v>
      </c>
    </row>
    <row r="12">
      <c r="A12" s="1" t="str">
        <f>IFERROR(__xludf.DUMMYFUNCTION("""COMPUTED_VALUE"""),"Austria Bans Head Scarves in Schools for Girls Under 14")</f>
        <v>Austria Bans Head Scarves in Schools for Girls Under 14</v>
      </c>
      <c r="B12" s="1" t="str">
        <f>IFERROR(__xludf.DUMMYFUNCTION("INDEX(SPLIT(A12, "" ""), 1)"),"Austria")</f>
        <v>Austria</v>
      </c>
      <c r="C12" s="1">
        <f>IFERROR(__xludf.DUMMYFUNCTION("COUNTA(SPLIT(A12, "" ""))"),10.0)</f>
        <v>10</v>
      </c>
      <c r="D12" s="1">
        <f>IFERROR(__xludf.DUMMYFUNCTION("INDEX(SPLIT(A12, "" ""), COUNTA(SPLIT(A12, "" "")))"),14.0)</f>
        <v>14</v>
      </c>
    </row>
    <row r="13">
      <c r="A13" s="1" t="str">
        <f>IFERROR(__xludf.DUMMYFUNCTION("""COMPUTED_VALUE"""),"Kids Rarely Read Whole Books Anymore. Even in English Class.")</f>
        <v>Kids Rarely Read Whole Books Anymore. Even in English Class.</v>
      </c>
      <c r="B13" s="1" t="str">
        <f>IFERROR(__xludf.DUMMYFUNCTION("INDEX(SPLIT(A13, "" ""), 1)"),"Kids")</f>
        <v>Kids</v>
      </c>
      <c r="C13" s="1">
        <f>IFERROR(__xludf.DUMMYFUNCTION("COUNTA(SPLIT(A13, "" ""))"),10.0)</f>
        <v>10</v>
      </c>
      <c r="D13" s="1" t="str">
        <f>IFERROR(__xludf.DUMMYFUNCTION("INDEX(SPLIT(A13, "" ""), COUNTA(SPLIT(A13, "" "")))"),"Class.")</f>
        <v>Class.</v>
      </c>
    </row>
    <row r="14">
      <c r="A14" s="1" t="str">
        <f>IFERROR(__xludf.DUMMYFUNCTION("""COMPUTED_VALUE"""),"Lecturer Sanctioned Over MAGA White Supremacy Lesson Is Back in Class")</f>
        <v>Lecturer Sanctioned Over MAGA White Supremacy Lesson Is Back in Class</v>
      </c>
      <c r="B14" s="1" t="str">
        <f>IFERROR(__xludf.DUMMYFUNCTION("INDEX(SPLIT(A14, "" ""), 1)"),"Lecturer")</f>
        <v>Lecturer</v>
      </c>
      <c r="C14" s="1">
        <f>IFERROR(__xludf.DUMMYFUNCTION("COUNTA(SPLIT(A14, "" ""))"),11.0)</f>
        <v>11</v>
      </c>
      <c r="D14" s="1" t="str">
        <f>IFERROR(__xludf.DUMMYFUNCTION("INDEX(SPLIT(A14, "" ""), COUNTA(SPLIT(A14, "" "")))"),"Class")</f>
        <v>Class</v>
      </c>
    </row>
    <row r="15">
      <c r="A15" s="1" t="str">
        <f>IFERROR(__xludf.DUMMYFUNCTION("""COMPUTED_VALUE"""),"Michigan Football Coach Is Detained After Being Fired")</f>
        <v>Michigan Football Coach Is Detained After Being Fired</v>
      </c>
      <c r="B15" s="1" t="str">
        <f>IFERROR(__xludf.DUMMYFUNCTION("INDEX(SPLIT(A15, "" ""), 1)"),"Michigan")</f>
        <v>Michigan</v>
      </c>
      <c r="C15" s="1">
        <f>IFERROR(__xludf.DUMMYFUNCTION("COUNTA(SPLIT(A15, "" ""))"),8.0)</f>
        <v>8</v>
      </c>
      <c r="D15" s="1" t="str">
        <f>IFERROR(__xludf.DUMMYFUNCTION("INDEX(SPLIT(A15, "" ""), COUNTA(SPLIT(A15, "" "")))"),"Fired")</f>
        <v>Fired</v>
      </c>
    </row>
    <row r="16">
      <c r="A16" s="1" t="str">
        <f>IFERROR(__xludf.DUMMYFUNCTION("""COMPUTED_VALUE"""),"DealBook Summit: Education Leaders Feel the Weight of Preparing Graduates for a New World")</f>
        <v>DealBook Summit: Education Leaders Feel the Weight of Preparing Graduates for a New World</v>
      </c>
      <c r="B16" s="1" t="str">
        <f>IFERROR(__xludf.DUMMYFUNCTION("INDEX(SPLIT(A16, "" ""), 1)"),"DealBook")</f>
        <v>DealBook</v>
      </c>
      <c r="C16" s="1">
        <f>IFERROR(__xludf.DUMMYFUNCTION("COUNTA(SPLIT(A16, "" ""))"),14.0)</f>
        <v>14</v>
      </c>
      <c r="D16" s="1" t="str">
        <f>IFERROR(__xludf.DUMMYFUNCTION("INDEX(SPLIT(A16, "" ""), COUNTA(SPLIT(A16, "" "")))"),"World")</f>
        <v>World</v>
      </c>
    </row>
    <row r="17">
      <c r="A17" s="1" t="str">
        <f>IFERROR(__xludf.DUMMYFUNCTION("""COMPUTED_VALUE"""),"This Arkansas City Shows How to Slash Emissions and Save Money, Too")</f>
        <v>This Arkansas City Shows How to Slash Emissions and Save Money, Too</v>
      </c>
      <c r="B17" s="1" t="str">
        <f>IFERROR(__xludf.DUMMYFUNCTION("INDEX(SPLIT(A17, "" ""), 1)"),"This")</f>
        <v>This</v>
      </c>
      <c r="C17" s="1">
        <f>IFERROR(__xludf.DUMMYFUNCTION("COUNTA(SPLIT(A17, "" ""))"),12.0)</f>
        <v>12</v>
      </c>
      <c r="D17" s="1" t="str">
        <f>IFERROR(__xludf.DUMMYFUNCTION("INDEX(SPLIT(A17, "" ""), COUNTA(SPLIT(A17, "" "")))"),"Too")</f>
        <v>Too</v>
      </c>
    </row>
    <row r="18">
      <c r="A18" s="1" t="str">
        <f>IFERROR(__xludf.DUMMYFUNCTION("""COMPUTED_VALUE"""),"Parent Is Suspect in Fatal Shooting at Kentucky State University, Officials Say")</f>
        <v>Parent Is Suspect in Fatal Shooting at Kentucky State University, Officials Say</v>
      </c>
      <c r="B18" s="1" t="str">
        <f>IFERROR(__xludf.DUMMYFUNCTION("INDEX(SPLIT(A18, "" ""), 1)"),"Parent")</f>
        <v>Parent</v>
      </c>
      <c r="C18" s="1">
        <f>IFERROR(__xludf.DUMMYFUNCTION("COUNTA(SPLIT(A18, "" ""))"),12.0)</f>
        <v>12</v>
      </c>
      <c r="D18" s="1" t="str">
        <f>IFERROR(__xludf.DUMMYFUNCTION("INDEX(SPLIT(A18, "" ""), COUNTA(SPLIT(A18, "" "")))"),"Say")</f>
        <v>Say</v>
      </c>
    </row>
    <row r="19">
      <c r="A19" s="1" t="str">
        <f>IFERROR(__xludf.DUMMYFUNCTION("""COMPUTED_VALUE"""),"What the Fed’s Rate Decision Means for Loans, Credit Cards, Mortgages and More")</f>
        <v>What the Fed’s Rate Decision Means for Loans, Credit Cards, Mortgages and More</v>
      </c>
      <c r="B19" s="1" t="str">
        <f>IFERROR(__xludf.DUMMYFUNCTION("INDEX(SPLIT(A19, "" ""), 1)"),"What")</f>
        <v>What</v>
      </c>
      <c r="C19" s="1">
        <f>IFERROR(__xludf.DUMMYFUNCTION("COUNTA(SPLIT(A19, "" ""))"),13.0)</f>
        <v>13</v>
      </c>
      <c r="D19" s="1" t="str">
        <f>IFERROR(__xludf.DUMMYFUNCTION("INDEX(SPLIT(A19, "" ""), COUNTA(SPLIT(A19, "" "")))"),"More")</f>
        <v>More</v>
      </c>
    </row>
    <row r="20">
      <c r="A20" s="1" t="str">
        <f>IFERROR(__xludf.DUMMYFUNCTION("""COMPUTED_VALUE"""),"Rod Paige, Education Secretary Who Defended ‘No Child Left Behind,’ Dies at 92")</f>
        <v>Rod Paige, Education Secretary Who Defended ‘No Child Left Behind,’ Dies at 92</v>
      </c>
      <c r="B20" s="1" t="str">
        <f>IFERROR(__xludf.DUMMYFUNCTION("INDEX(SPLIT(A20, "" ""), 1)"),"Rod")</f>
        <v>Rod</v>
      </c>
      <c r="C20" s="1">
        <f>IFERROR(__xludf.DUMMYFUNCTION("COUNTA(SPLIT(A20, "" ""))"),13.0)</f>
        <v>13</v>
      </c>
      <c r="D20" s="1">
        <f>IFERROR(__xludf.DUMMYFUNCTION("INDEX(SPLIT(A20, "" ""), COUNTA(SPLIT(A20, "" "")))"),92.0)</f>
        <v>92</v>
      </c>
    </row>
    <row r="21">
      <c r="A21" s="1" t="str">
        <f>IFERROR(__xludf.DUMMYFUNCTION("""COMPUTED_VALUE"""),"Trump Administration Rules Threaten Nobel Prizes Won by Immigrants")</f>
        <v>Trump Administration Rules Threaten Nobel Prizes Won by Immigrants</v>
      </c>
      <c r="B21" s="1" t="str">
        <f>IFERROR(__xludf.DUMMYFUNCTION("INDEX(SPLIT(A21, "" ""), 1)"),"Trump")</f>
        <v>Trump</v>
      </c>
      <c r="C21" s="1">
        <f>IFERROR(__xludf.DUMMYFUNCTION("COUNTA(SPLIT(A21, "" ""))"),9.0)</f>
        <v>9</v>
      </c>
      <c r="D21" s="1" t="str">
        <f>IFERROR(__xludf.DUMMYFUNCTION("INDEX(SPLIT(A21, "" ""), COUNTA(SPLIT(A21, "" "")))"),"Immigrants")</f>
        <v>Immigrants</v>
      </c>
    </row>
  </sheetData>
  <drawing r:id="rId1"/>
</worksheet>
</file>