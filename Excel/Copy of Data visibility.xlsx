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der_pay_gap" sheetId="1" r:id="rId4"/>
  </sheets>
  <definedNames/>
  <calcPr/>
</workbook>
</file>

<file path=xl/sharedStrings.xml><?xml version="1.0" encoding="utf-8"?>
<sst xmlns="http://schemas.openxmlformats.org/spreadsheetml/2006/main" count="27" uniqueCount="16">
  <si>
    <t>Gender</t>
  </si>
  <si>
    <t>Age</t>
  </si>
  <si>
    <t>Relatives</t>
  </si>
  <si>
    <t>Modules</t>
  </si>
  <si>
    <t>Date of birth</t>
  </si>
  <si>
    <t>BasePay (1000's)</t>
  </si>
  <si>
    <t>Ceiling</t>
  </si>
  <si>
    <t>Roundup</t>
  </si>
  <si>
    <t>Flooor</t>
  </si>
  <si>
    <t>Rounddown</t>
  </si>
  <si>
    <t>Executive</t>
  </si>
  <si>
    <t>Bonus Percentage</t>
  </si>
  <si>
    <t>Active</t>
  </si>
  <si>
    <t>Female</t>
  </si>
  <si>
    <t>Male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</si>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</sst>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/yyyy"/>
  </numFmts>
  <fonts count="6">
    <font>
      <sz val="10.0"/>
      <color rgb="FF000000"/>
      <name val="Arial"/>
      <scheme val="minor"/>
    </font>
    <font>
      <b/>
      <color theme="1"/>
      <name val="Inter"/>
    </font>
    <font>
      <b/>
      <color theme="1"/>
      <name val="Arial"/>
      <scheme val="minor"/>
    </font>
    <font>
      <color theme="1"/>
      <name val="Inter"/>
    </font>
    <font>
      <sz val="11.0"/>
      <color theme="1"/>
      <name val="Inte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10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2" numFmtId="0" xfId="0" applyFont="1"/>
    <xf borderId="0" fillId="0" fontId="3" numFmtId="49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164" xfId="0" applyFont="1" applyNumberFormat="1"/>
    <xf borderId="0" fillId="0" fontId="3" numFmtId="165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horizontal="right" vertical="bottom"/>
    </xf>
    <xf borderId="0" fillId="2" fontId="3" numFmtId="0" xfId="0" applyAlignment="1" applyFont="1">
      <alignment horizontal="center" vertical="bottom"/>
    </xf>
    <xf borderId="0" fillId="2" fontId="4" numFmtId="1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2" fontId="3" numFmtId="0" xfId="0" applyAlignment="1" applyFont="1">
      <alignment horizontal="center" readingOrder="0" vertical="bottom"/>
    </xf>
    <xf borderId="0" fillId="0" fontId="3" numFmtId="1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5" numFmtId="10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5" width="11.25"/>
    <col customWidth="1" min="6" max="10" width="19.63"/>
    <col customWidth="1" min="12" max="12" width="18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7" t="s">
        <v>11</v>
      </c>
      <c r="M1" s="8" t="s">
        <v>12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 t="s">
        <v>13</v>
      </c>
      <c r="B2" s="11">
        <v>18.0</v>
      </c>
      <c r="C2" s="11">
        <f t="shared" ref="C2:C14" si="1">B2*2</f>
        <v>36</v>
      </c>
      <c r="D2" s="11">
        <f t="shared" ref="D2:D14" si="2">MOD(C2, 100)</f>
        <v>36</v>
      </c>
      <c r="E2" s="12">
        <v>38207.0</v>
      </c>
      <c r="F2" s="13">
        <v>42.363</v>
      </c>
      <c r="G2" s="13">
        <f t="shared" ref="G2:G14" si="3">CEILING(F2, 1)</f>
        <v>43</v>
      </c>
      <c r="H2" s="13">
        <f t="shared" ref="H2:H14" si="4">ROUNDUP(F2, 1)</f>
        <v>42.4</v>
      </c>
      <c r="I2" s="13">
        <f t="shared" ref="I2:I14" si="5">FLOOR(F2, 2)</f>
        <v>42</v>
      </c>
      <c r="J2" s="13">
        <f t="shared" ref="J2:J14" si="6">ROUNDDOWN(F2, 2)</f>
        <v>42.36</v>
      </c>
      <c r="K2" s="11">
        <v>0.0</v>
      </c>
      <c r="L2" s="14">
        <v>0.1</v>
      </c>
      <c r="M2" s="15" t="b">
        <v>1</v>
      </c>
      <c r="N2" s="16"/>
      <c r="O2" s="16"/>
      <c r="P2" s="16"/>
      <c r="Q2" s="16"/>
    </row>
    <row r="3">
      <c r="A3" s="10" t="s">
        <v>14</v>
      </c>
      <c r="B3" s="11">
        <v>21.0</v>
      </c>
      <c r="C3" s="11">
        <f t="shared" si="1"/>
        <v>42</v>
      </c>
      <c r="D3" s="11">
        <f t="shared" si="2"/>
        <v>42</v>
      </c>
      <c r="E3" s="17">
        <v>37304.0</v>
      </c>
      <c r="F3" s="13">
        <v>108.476</v>
      </c>
      <c r="G3" s="13">
        <f t="shared" si="3"/>
        <v>109</v>
      </c>
      <c r="H3" s="13">
        <f t="shared" si="4"/>
        <v>108.5</v>
      </c>
      <c r="I3" s="13">
        <f t="shared" si="5"/>
        <v>108</v>
      </c>
      <c r="J3" s="13">
        <f t="shared" si="6"/>
        <v>108.47</v>
      </c>
      <c r="K3" s="11">
        <v>1.0</v>
      </c>
      <c r="L3" s="14">
        <v>0.02</v>
      </c>
      <c r="M3" s="15" t="b">
        <v>1</v>
      </c>
    </row>
    <row r="4">
      <c r="A4" s="10" t="s">
        <v>13</v>
      </c>
      <c r="B4" s="11">
        <v>19.0</v>
      </c>
      <c r="C4" s="11">
        <f t="shared" si="1"/>
        <v>38</v>
      </c>
      <c r="D4" s="11">
        <f t="shared" si="2"/>
        <v>38</v>
      </c>
      <c r="E4" s="18">
        <v>37628.0</v>
      </c>
      <c r="F4" s="13">
        <v>90.208</v>
      </c>
      <c r="G4" s="13">
        <f t="shared" si="3"/>
        <v>91</v>
      </c>
      <c r="H4" s="13">
        <f t="shared" si="4"/>
        <v>90.3</v>
      </c>
      <c r="I4" s="13">
        <f t="shared" si="5"/>
        <v>90</v>
      </c>
      <c r="J4" s="13">
        <f t="shared" si="6"/>
        <v>90.2</v>
      </c>
      <c r="K4" s="11">
        <v>1.0</v>
      </c>
      <c r="L4" s="14">
        <v>0.03</v>
      </c>
      <c r="M4" s="15" t="b">
        <v>1</v>
      </c>
    </row>
    <row r="5">
      <c r="A5" s="10" t="s">
        <v>14</v>
      </c>
      <c r="B5" s="11">
        <v>20.0</v>
      </c>
      <c r="C5" s="11">
        <f t="shared" si="1"/>
        <v>40</v>
      </c>
      <c r="D5" s="11">
        <f t="shared" si="2"/>
        <v>40</v>
      </c>
      <c r="E5" s="18">
        <v>37310.0</v>
      </c>
      <c r="F5" s="19">
        <v>108.08</v>
      </c>
      <c r="G5" s="13">
        <f t="shared" si="3"/>
        <v>109</v>
      </c>
      <c r="H5" s="13">
        <f t="shared" si="4"/>
        <v>108.1</v>
      </c>
      <c r="I5" s="13">
        <f t="shared" si="5"/>
        <v>108</v>
      </c>
      <c r="J5" s="13">
        <f t="shared" si="6"/>
        <v>108.08</v>
      </c>
      <c r="K5" s="11">
        <v>0.0</v>
      </c>
      <c r="L5" s="14">
        <v>0.07</v>
      </c>
      <c r="M5" s="15" t="b">
        <v>0</v>
      </c>
    </row>
    <row r="6">
      <c r="A6" s="10" t="s">
        <v>14</v>
      </c>
      <c r="B6" s="11">
        <v>26.0</v>
      </c>
      <c r="C6" s="11">
        <f t="shared" si="1"/>
        <v>52</v>
      </c>
      <c r="D6" s="11">
        <f t="shared" si="2"/>
        <v>52</v>
      </c>
      <c r="E6" s="17">
        <v>35132.0</v>
      </c>
      <c r="F6" s="19">
        <v>99.464</v>
      </c>
      <c r="G6" s="13">
        <f t="shared" si="3"/>
        <v>100</v>
      </c>
      <c r="H6" s="13">
        <f t="shared" si="4"/>
        <v>99.5</v>
      </c>
      <c r="I6" s="13">
        <f t="shared" si="5"/>
        <v>98</v>
      </c>
      <c r="J6" s="13">
        <f t="shared" si="6"/>
        <v>99.46</v>
      </c>
      <c r="K6" s="11">
        <v>1.0</v>
      </c>
      <c r="L6" s="14">
        <v>0.03</v>
      </c>
      <c r="M6" s="15" t="b">
        <v>1</v>
      </c>
    </row>
    <row r="7">
      <c r="A7" s="10" t="s">
        <v>13</v>
      </c>
      <c r="B7" s="11">
        <v>20.0</v>
      </c>
      <c r="C7" s="11">
        <f t="shared" si="1"/>
        <v>40</v>
      </c>
      <c r="D7" s="11">
        <f t="shared" si="2"/>
        <v>40</v>
      </c>
      <c r="E7" s="17">
        <v>38518.0</v>
      </c>
      <c r="F7" s="19">
        <v>70.89</v>
      </c>
      <c r="G7" s="13">
        <f t="shared" si="3"/>
        <v>71</v>
      </c>
      <c r="H7" s="13">
        <f t="shared" si="4"/>
        <v>70.9</v>
      </c>
      <c r="I7" s="13">
        <f t="shared" si="5"/>
        <v>70</v>
      </c>
      <c r="J7" s="13">
        <f t="shared" si="6"/>
        <v>70.89</v>
      </c>
      <c r="K7" s="11">
        <v>0.0</v>
      </c>
      <c r="L7" s="14">
        <v>0.02</v>
      </c>
      <c r="M7" s="15" t="b">
        <v>1</v>
      </c>
    </row>
    <row r="8">
      <c r="A8" s="10" t="s">
        <v>13</v>
      </c>
      <c r="B8" s="11">
        <v>20.0</v>
      </c>
      <c r="C8" s="11">
        <f t="shared" si="1"/>
        <v>40</v>
      </c>
      <c r="D8" s="11">
        <f t="shared" si="2"/>
        <v>40</v>
      </c>
      <c r="E8" s="20">
        <v>37703.0</v>
      </c>
      <c r="F8" s="19">
        <v>67.585</v>
      </c>
      <c r="G8" s="13">
        <f t="shared" si="3"/>
        <v>68</v>
      </c>
      <c r="H8" s="13">
        <f t="shared" si="4"/>
        <v>67.6</v>
      </c>
      <c r="I8" s="13">
        <f t="shared" si="5"/>
        <v>66</v>
      </c>
      <c r="J8" s="13">
        <f t="shared" si="6"/>
        <v>67.58</v>
      </c>
      <c r="K8" s="11">
        <v>0.0</v>
      </c>
      <c r="L8" s="14">
        <v>0.12</v>
      </c>
      <c r="M8" s="15" t="b">
        <v>1</v>
      </c>
    </row>
    <row r="9">
      <c r="A9" s="10" t="s">
        <v>14</v>
      </c>
      <c r="B9" s="11">
        <v>18.0</v>
      </c>
      <c r="C9" s="11">
        <f t="shared" si="1"/>
        <v>36</v>
      </c>
      <c r="D9" s="11">
        <f t="shared" si="2"/>
        <v>36</v>
      </c>
      <c r="E9" s="18">
        <v>38032.0</v>
      </c>
      <c r="F9" s="19">
        <f>ROUND(F10, 3)</f>
        <v>112.976</v>
      </c>
      <c r="G9" s="13">
        <f t="shared" si="3"/>
        <v>113</v>
      </c>
      <c r="H9" s="13">
        <f t="shared" si="4"/>
        <v>113</v>
      </c>
      <c r="I9" s="13">
        <f t="shared" si="5"/>
        <v>112</v>
      </c>
      <c r="J9" s="13">
        <f t="shared" si="6"/>
        <v>112.97</v>
      </c>
      <c r="K9" s="11">
        <v>1.0</v>
      </c>
      <c r="L9" s="14">
        <v>0.11</v>
      </c>
      <c r="M9" s="21" t="b">
        <v>1</v>
      </c>
    </row>
    <row r="10">
      <c r="A10" s="10" t="s">
        <v>13</v>
      </c>
      <c r="B10" s="11">
        <v>33.0</v>
      </c>
      <c r="C10" s="11">
        <f t="shared" si="1"/>
        <v>66</v>
      </c>
      <c r="D10" s="11">
        <f t="shared" si="2"/>
        <v>66</v>
      </c>
      <c r="E10" s="12">
        <v>33055.0</v>
      </c>
      <c r="F10" s="19">
        <v>112.976</v>
      </c>
      <c r="G10" s="13">
        <f t="shared" si="3"/>
        <v>113</v>
      </c>
      <c r="H10" s="13">
        <f t="shared" si="4"/>
        <v>113</v>
      </c>
      <c r="I10" s="13">
        <f t="shared" si="5"/>
        <v>112</v>
      </c>
      <c r="J10" s="13">
        <f t="shared" si="6"/>
        <v>112.97</v>
      </c>
      <c r="K10" s="11">
        <v>1.0</v>
      </c>
      <c r="L10" s="14">
        <v>0.07</v>
      </c>
      <c r="M10" s="15" t="b">
        <v>1</v>
      </c>
    </row>
    <row r="11">
      <c r="A11" s="10" t="s">
        <v>13</v>
      </c>
      <c r="B11" s="11">
        <v>27.0</v>
      </c>
      <c r="C11" s="11">
        <f t="shared" si="1"/>
        <v>54</v>
      </c>
      <c r="D11" s="11">
        <f t="shared" si="2"/>
        <v>54</v>
      </c>
      <c r="E11" s="18">
        <v>34781.0</v>
      </c>
      <c r="F11" s="19">
        <v>73.357</v>
      </c>
      <c r="G11" s="13">
        <f t="shared" si="3"/>
        <v>74</v>
      </c>
      <c r="H11" s="13">
        <f t="shared" si="4"/>
        <v>73.4</v>
      </c>
      <c r="I11" s="13">
        <f t="shared" si="5"/>
        <v>72</v>
      </c>
      <c r="J11" s="13">
        <f t="shared" si="6"/>
        <v>73.35</v>
      </c>
      <c r="K11" s="11">
        <v>0.0</v>
      </c>
      <c r="L11" s="22">
        <v>0.07</v>
      </c>
      <c r="M11" s="15" t="b">
        <v>1</v>
      </c>
    </row>
    <row r="12">
      <c r="A12" s="10" t="s">
        <v>13</v>
      </c>
      <c r="B12" s="11">
        <v>23.0</v>
      </c>
      <c r="C12" s="11">
        <f t="shared" si="1"/>
        <v>46</v>
      </c>
      <c r="D12" s="11">
        <f t="shared" si="2"/>
        <v>46</v>
      </c>
      <c r="E12" s="12">
        <v>36886.0</v>
      </c>
      <c r="F12" s="19">
        <v>88.422</v>
      </c>
      <c r="G12" s="13">
        <f t="shared" si="3"/>
        <v>89</v>
      </c>
      <c r="H12" s="13">
        <f t="shared" si="4"/>
        <v>88.5</v>
      </c>
      <c r="I12" s="13">
        <f t="shared" si="5"/>
        <v>88</v>
      </c>
      <c r="J12" s="13">
        <f t="shared" si="6"/>
        <v>88.42</v>
      </c>
      <c r="K12" s="11">
        <v>1.0</v>
      </c>
      <c r="L12" s="22">
        <v>0.03</v>
      </c>
      <c r="M12" s="15" t="b">
        <v>1</v>
      </c>
    </row>
    <row r="13">
      <c r="A13" s="10" t="s">
        <v>13</v>
      </c>
      <c r="B13" s="11">
        <v>24.0</v>
      </c>
      <c r="C13" s="11">
        <f t="shared" si="1"/>
        <v>48</v>
      </c>
      <c r="D13" s="11">
        <f t="shared" si="2"/>
        <v>48</v>
      </c>
      <c r="E13" s="18">
        <v>36411.0</v>
      </c>
      <c r="F13" s="19">
        <v>99.545</v>
      </c>
      <c r="G13" s="13">
        <f t="shared" si="3"/>
        <v>100</v>
      </c>
      <c r="H13" s="13">
        <f t="shared" si="4"/>
        <v>99.6</v>
      </c>
      <c r="I13" s="13">
        <f t="shared" si="5"/>
        <v>98</v>
      </c>
      <c r="J13" s="13">
        <f t="shared" si="6"/>
        <v>99.54</v>
      </c>
      <c r="K13" s="11">
        <v>1.0</v>
      </c>
      <c r="L13" s="22">
        <v>0.015</v>
      </c>
      <c r="M13" s="15" t="b">
        <v>1</v>
      </c>
    </row>
    <row r="14">
      <c r="A14" s="10" t="s">
        <v>14</v>
      </c>
      <c r="B14" s="11">
        <v>21.0</v>
      </c>
      <c r="C14" s="11">
        <f t="shared" si="1"/>
        <v>42</v>
      </c>
      <c r="D14" s="11">
        <f t="shared" si="2"/>
        <v>42</v>
      </c>
      <c r="E14" s="18">
        <v>37381.0</v>
      </c>
      <c r="F14" s="19">
        <v>90.386</v>
      </c>
      <c r="G14" s="13">
        <f t="shared" si="3"/>
        <v>91</v>
      </c>
      <c r="H14" s="13">
        <f t="shared" si="4"/>
        <v>90.4</v>
      </c>
      <c r="I14" s="13">
        <f t="shared" si="5"/>
        <v>90</v>
      </c>
      <c r="J14" s="13">
        <f t="shared" si="6"/>
        <v>90.38</v>
      </c>
      <c r="K14" s="11">
        <v>1.0</v>
      </c>
      <c r="L14" s="14">
        <v>0.04</v>
      </c>
      <c r="M14" s="21" t="b">
        <v>0</v>
      </c>
    </row>
    <row r="15">
      <c r="A15" s="23" t="s">
        <v>15</v>
      </c>
      <c r="E15" s="24"/>
      <c r="L15" s="25"/>
    </row>
    <row r="16">
      <c r="E16" s="24"/>
      <c r="G16" s="26">
        <f>_xlfn.CEILING.MATH(12.5, 3)</f>
        <v>15</v>
      </c>
      <c r="H16" s="26">
        <f>_xlfn.CEILING.PRECISE(20, 2)</f>
        <v>20</v>
      </c>
      <c r="L16" s="25"/>
    </row>
    <row r="17">
      <c r="E17" s="24"/>
      <c r="G17" s="26">
        <f>_xlfn.CEILING.MATH(-12.5, 3)</f>
        <v>-12</v>
      </c>
      <c r="H17" s="26">
        <f>_xlfn.CEILING.PRECISE(20, 0.001)</f>
        <v>20</v>
      </c>
      <c r="L17" s="25"/>
    </row>
    <row r="18">
      <c r="E18" s="24"/>
      <c r="G18" s="26">
        <f>_xlfn.CEILING.MATH(12.5, 5)</f>
        <v>15</v>
      </c>
      <c r="L18" s="25"/>
    </row>
    <row r="19">
      <c r="E19" s="24"/>
      <c r="G19" s="26">
        <f>_xlfn.CEILING.MATH(-12.5, 5, 0)</f>
        <v>-10</v>
      </c>
      <c r="L19" s="25"/>
    </row>
    <row r="20">
      <c r="E20" s="24"/>
      <c r="L20" s="25"/>
    </row>
    <row r="21">
      <c r="E21" s="24"/>
      <c r="L21" s="25"/>
    </row>
    <row r="22">
      <c r="E22" s="24"/>
      <c r="L22" s="25"/>
    </row>
    <row r="23">
      <c r="E23" s="24"/>
      <c r="L23" s="25"/>
    </row>
    <row r="24">
      <c r="E24" s="24"/>
      <c r="L24" s="25"/>
    </row>
    <row r="25">
      <c r="E25" s="24"/>
      <c r="L25" s="25"/>
    </row>
    <row r="26">
      <c r="E26" s="24"/>
      <c r="L26" s="25"/>
    </row>
    <row r="27">
      <c r="E27" s="24"/>
      <c r="L27" s="25"/>
    </row>
    <row r="28">
      <c r="E28" s="24"/>
      <c r="L28" s="25"/>
    </row>
    <row r="29">
      <c r="E29" s="24"/>
      <c r="L29" s="25"/>
    </row>
    <row r="30">
      <c r="E30" s="24"/>
      <c r="L30" s="25"/>
    </row>
    <row r="31">
      <c r="E31" s="24"/>
      <c r="L31" s="25"/>
    </row>
    <row r="32">
      <c r="E32" s="24"/>
      <c r="L32" s="25"/>
    </row>
    <row r="33">
      <c r="E33" s="24"/>
      <c r="L33" s="25"/>
    </row>
    <row r="34">
      <c r="E34" s="24"/>
      <c r="L34" s="25"/>
    </row>
    <row r="35">
      <c r="E35" s="24"/>
      <c r="L35" s="25"/>
    </row>
    <row r="36">
      <c r="E36" s="24"/>
      <c r="L36" s="25"/>
    </row>
    <row r="37">
      <c r="E37" s="24"/>
      <c r="L37" s="25"/>
    </row>
    <row r="38">
      <c r="E38" s="24"/>
      <c r="L38" s="25"/>
    </row>
    <row r="39">
      <c r="E39" s="24"/>
      <c r="L39" s="25"/>
    </row>
    <row r="40">
      <c r="E40" s="24"/>
      <c r="L40" s="25"/>
    </row>
    <row r="41">
      <c r="E41" s="24"/>
      <c r="L41" s="25"/>
    </row>
    <row r="42">
      <c r="E42" s="24"/>
      <c r="L42" s="25"/>
    </row>
    <row r="43">
      <c r="E43" s="24"/>
      <c r="L43" s="25"/>
    </row>
    <row r="44">
      <c r="E44" s="24"/>
      <c r="L44" s="25"/>
    </row>
    <row r="45">
      <c r="E45" s="24"/>
      <c r="L45" s="25"/>
    </row>
    <row r="46">
      <c r="E46" s="24"/>
      <c r="L46" s="25"/>
    </row>
    <row r="47">
      <c r="E47" s="24"/>
      <c r="L47" s="25"/>
    </row>
    <row r="48">
      <c r="E48" s="24"/>
      <c r="L48" s="25"/>
    </row>
    <row r="49">
      <c r="E49" s="24"/>
      <c r="L49" s="25"/>
    </row>
    <row r="50">
      <c r="E50" s="24"/>
      <c r="L50" s="25"/>
    </row>
    <row r="51">
      <c r="E51" s="24"/>
      <c r="L51" s="25"/>
    </row>
    <row r="52">
      <c r="E52" s="24"/>
      <c r="L52" s="25"/>
    </row>
    <row r="53">
      <c r="E53" s="24"/>
      <c r="L53" s="25"/>
    </row>
    <row r="54">
      <c r="E54" s="24"/>
      <c r="L54" s="25"/>
    </row>
    <row r="55">
      <c r="E55" s="24"/>
      <c r="L55" s="25"/>
    </row>
    <row r="56">
      <c r="E56" s="24"/>
      <c r="L56" s="25"/>
    </row>
    <row r="57">
      <c r="E57" s="24"/>
      <c r="L57" s="25"/>
    </row>
    <row r="58">
      <c r="E58" s="24"/>
      <c r="L58" s="25"/>
    </row>
    <row r="59">
      <c r="E59" s="24"/>
      <c r="L59" s="25"/>
    </row>
    <row r="60">
      <c r="E60" s="24"/>
      <c r="L60" s="25"/>
    </row>
    <row r="61">
      <c r="E61" s="24"/>
      <c r="L61" s="25"/>
    </row>
    <row r="62">
      <c r="E62" s="24"/>
      <c r="L62" s="25"/>
    </row>
    <row r="63">
      <c r="E63" s="24"/>
      <c r="L63" s="25"/>
    </row>
    <row r="64">
      <c r="E64" s="24"/>
      <c r="L64" s="25"/>
    </row>
    <row r="65">
      <c r="E65" s="24"/>
      <c r="L65" s="25"/>
    </row>
    <row r="66">
      <c r="E66" s="24"/>
      <c r="L66" s="25"/>
    </row>
    <row r="67">
      <c r="E67" s="24"/>
      <c r="L67" s="25"/>
    </row>
    <row r="68">
      <c r="E68" s="24"/>
      <c r="L68" s="25"/>
    </row>
    <row r="69">
      <c r="E69" s="24"/>
      <c r="L69" s="25"/>
    </row>
    <row r="70">
      <c r="E70" s="24"/>
      <c r="L70" s="25"/>
    </row>
    <row r="71">
      <c r="E71" s="24"/>
      <c r="L71" s="25"/>
    </row>
    <row r="72">
      <c r="E72" s="24"/>
      <c r="L72" s="25"/>
    </row>
    <row r="73">
      <c r="E73" s="24"/>
      <c r="L73" s="25"/>
    </row>
    <row r="74">
      <c r="E74" s="24"/>
      <c r="L74" s="25"/>
    </row>
    <row r="75">
      <c r="E75" s="24"/>
      <c r="L75" s="25"/>
    </row>
    <row r="76">
      <c r="E76" s="24"/>
      <c r="L76" s="25"/>
    </row>
    <row r="77">
      <c r="E77" s="24"/>
      <c r="L77" s="25"/>
    </row>
    <row r="78">
      <c r="E78" s="24"/>
      <c r="L78" s="25"/>
    </row>
    <row r="79">
      <c r="E79" s="24"/>
      <c r="L79" s="25"/>
    </row>
    <row r="80">
      <c r="E80" s="24"/>
      <c r="L80" s="25"/>
    </row>
    <row r="81">
      <c r="E81" s="24"/>
      <c r="L81" s="25"/>
    </row>
    <row r="82">
      <c r="E82" s="24"/>
      <c r="L82" s="25"/>
    </row>
    <row r="83">
      <c r="E83" s="24"/>
      <c r="L83" s="25"/>
    </row>
    <row r="84">
      <c r="E84" s="24"/>
      <c r="L84" s="25"/>
    </row>
    <row r="85">
      <c r="E85" s="24"/>
      <c r="L85" s="25"/>
    </row>
    <row r="86">
      <c r="E86" s="24"/>
      <c r="L86" s="25"/>
    </row>
    <row r="87">
      <c r="E87" s="24"/>
      <c r="L87" s="25"/>
    </row>
    <row r="88">
      <c r="E88" s="24"/>
      <c r="L88" s="25"/>
    </row>
    <row r="89">
      <c r="E89" s="24"/>
      <c r="L89" s="25"/>
    </row>
    <row r="90">
      <c r="E90" s="24"/>
      <c r="L90" s="25"/>
    </row>
    <row r="91">
      <c r="E91" s="24"/>
      <c r="L91" s="25"/>
    </row>
    <row r="92">
      <c r="E92" s="24"/>
      <c r="L92" s="25"/>
    </row>
    <row r="93">
      <c r="E93" s="24"/>
      <c r="L93" s="25"/>
    </row>
    <row r="94">
      <c r="E94" s="24"/>
      <c r="L94" s="25"/>
    </row>
    <row r="95">
      <c r="E95" s="24"/>
      <c r="L95" s="25"/>
    </row>
    <row r="96">
      <c r="E96" s="24"/>
      <c r="L96" s="25"/>
    </row>
    <row r="97">
      <c r="E97" s="24"/>
      <c r="L97" s="25"/>
    </row>
    <row r="98">
      <c r="E98" s="24"/>
      <c r="L98" s="25"/>
    </row>
    <row r="99">
      <c r="E99" s="24"/>
      <c r="L99" s="25"/>
    </row>
    <row r="100">
      <c r="E100" s="24"/>
      <c r="L100" s="25"/>
    </row>
    <row r="101">
      <c r="E101" s="24"/>
      <c r="L101" s="25"/>
    </row>
    <row r="102">
      <c r="E102" s="24"/>
      <c r="L102" s="25"/>
    </row>
    <row r="103">
      <c r="E103" s="24"/>
      <c r="L103" s="25"/>
    </row>
    <row r="104">
      <c r="E104" s="24"/>
      <c r="L104" s="25"/>
    </row>
    <row r="105">
      <c r="E105" s="24"/>
      <c r="L105" s="25"/>
    </row>
    <row r="106">
      <c r="E106" s="24"/>
      <c r="L106" s="25"/>
    </row>
    <row r="107">
      <c r="E107" s="24"/>
      <c r="L107" s="25"/>
    </row>
    <row r="108">
      <c r="E108" s="24"/>
      <c r="L108" s="25"/>
    </row>
    <row r="109">
      <c r="E109" s="24"/>
      <c r="L109" s="25"/>
    </row>
    <row r="110">
      <c r="E110" s="24"/>
      <c r="L110" s="25"/>
    </row>
    <row r="111">
      <c r="E111" s="24"/>
      <c r="L111" s="25"/>
    </row>
    <row r="112">
      <c r="E112" s="24"/>
      <c r="L112" s="25"/>
    </row>
    <row r="113">
      <c r="E113" s="24"/>
      <c r="L113" s="25"/>
    </row>
    <row r="114">
      <c r="E114" s="24"/>
      <c r="L114" s="25"/>
    </row>
    <row r="115">
      <c r="E115" s="24"/>
      <c r="L115" s="25"/>
    </row>
    <row r="116">
      <c r="E116" s="24"/>
      <c r="L116" s="25"/>
    </row>
    <row r="117">
      <c r="E117" s="24"/>
      <c r="L117" s="25"/>
    </row>
    <row r="118">
      <c r="E118" s="24"/>
      <c r="L118" s="25"/>
    </row>
    <row r="119">
      <c r="E119" s="24"/>
      <c r="L119" s="25"/>
    </row>
    <row r="120">
      <c r="E120" s="24"/>
      <c r="L120" s="25"/>
    </row>
    <row r="121">
      <c r="E121" s="24"/>
      <c r="L121" s="25"/>
    </row>
    <row r="122">
      <c r="E122" s="24"/>
      <c r="L122" s="25"/>
    </row>
    <row r="123">
      <c r="E123" s="24"/>
      <c r="L123" s="25"/>
    </row>
    <row r="124">
      <c r="E124" s="24"/>
      <c r="L124" s="25"/>
    </row>
    <row r="125">
      <c r="E125" s="24"/>
      <c r="L125" s="25"/>
    </row>
    <row r="126">
      <c r="E126" s="24"/>
      <c r="L126" s="25"/>
    </row>
    <row r="127">
      <c r="E127" s="24"/>
      <c r="L127" s="25"/>
    </row>
    <row r="128">
      <c r="E128" s="24"/>
      <c r="L128" s="25"/>
    </row>
    <row r="129">
      <c r="E129" s="24"/>
      <c r="L129" s="25"/>
    </row>
    <row r="130">
      <c r="E130" s="24"/>
      <c r="L130" s="25"/>
    </row>
    <row r="131">
      <c r="E131" s="24"/>
      <c r="L131" s="25"/>
    </row>
    <row r="132">
      <c r="E132" s="24"/>
      <c r="L132" s="25"/>
    </row>
    <row r="133">
      <c r="E133" s="24"/>
      <c r="L133" s="25"/>
    </row>
    <row r="134">
      <c r="E134" s="24"/>
      <c r="L134" s="25"/>
    </row>
    <row r="135">
      <c r="E135" s="24"/>
      <c r="L135" s="25"/>
    </row>
    <row r="136">
      <c r="E136" s="24"/>
      <c r="L136" s="25"/>
    </row>
    <row r="137">
      <c r="E137" s="24"/>
      <c r="L137" s="25"/>
    </row>
    <row r="138">
      <c r="E138" s="24"/>
      <c r="L138" s="25"/>
    </row>
    <row r="139">
      <c r="E139" s="24"/>
      <c r="L139" s="25"/>
    </row>
    <row r="140">
      <c r="E140" s="24"/>
      <c r="L140" s="25"/>
    </row>
    <row r="141">
      <c r="E141" s="24"/>
      <c r="L141" s="25"/>
    </row>
    <row r="142">
      <c r="E142" s="24"/>
      <c r="L142" s="25"/>
    </row>
    <row r="143">
      <c r="E143" s="24"/>
      <c r="L143" s="25"/>
    </row>
    <row r="144">
      <c r="E144" s="24"/>
      <c r="L144" s="25"/>
    </row>
    <row r="145">
      <c r="E145" s="24"/>
      <c r="L145" s="25"/>
    </row>
    <row r="146">
      <c r="E146" s="24"/>
      <c r="L146" s="25"/>
    </row>
    <row r="147">
      <c r="E147" s="24"/>
      <c r="L147" s="25"/>
    </row>
    <row r="148">
      <c r="E148" s="24"/>
      <c r="L148" s="25"/>
    </row>
    <row r="149">
      <c r="E149" s="24"/>
      <c r="L149" s="25"/>
    </row>
    <row r="150">
      <c r="E150" s="24"/>
      <c r="L150" s="25"/>
    </row>
    <row r="151">
      <c r="E151" s="24"/>
      <c r="L151" s="25"/>
    </row>
    <row r="152">
      <c r="E152" s="24"/>
      <c r="L152" s="25"/>
    </row>
    <row r="153">
      <c r="E153" s="24"/>
      <c r="L153" s="25"/>
    </row>
    <row r="154">
      <c r="E154" s="24"/>
      <c r="L154" s="25"/>
    </row>
    <row r="155">
      <c r="E155" s="24"/>
      <c r="L155" s="25"/>
    </row>
    <row r="156">
      <c r="E156" s="24"/>
      <c r="L156" s="25"/>
    </row>
    <row r="157">
      <c r="E157" s="24"/>
      <c r="L157" s="25"/>
    </row>
    <row r="158">
      <c r="E158" s="24"/>
      <c r="L158" s="25"/>
    </row>
    <row r="159">
      <c r="E159" s="24"/>
      <c r="L159" s="25"/>
    </row>
    <row r="160">
      <c r="E160" s="24"/>
      <c r="L160" s="25"/>
    </row>
    <row r="161">
      <c r="E161" s="24"/>
      <c r="L161" s="25"/>
    </row>
    <row r="162">
      <c r="E162" s="24"/>
      <c r="L162" s="25"/>
    </row>
    <row r="163">
      <c r="E163" s="24"/>
      <c r="L163" s="25"/>
    </row>
    <row r="164">
      <c r="E164" s="24"/>
      <c r="L164" s="25"/>
    </row>
    <row r="165">
      <c r="E165" s="24"/>
      <c r="L165" s="25"/>
    </row>
    <row r="166">
      <c r="E166" s="24"/>
      <c r="L166" s="25"/>
    </row>
    <row r="167">
      <c r="E167" s="24"/>
      <c r="L167" s="25"/>
    </row>
    <row r="168">
      <c r="E168" s="24"/>
      <c r="L168" s="25"/>
    </row>
    <row r="169">
      <c r="E169" s="24"/>
      <c r="L169" s="25"/>
    </row>
    <row r="170">
      <c r="E170" s="24"/>
      <c r="L170" s="25"/>
    </row>
    <row r="171">
      <c r="E171" s="24"/>
      <c r="L171" s="25"/>
    </row>
    <row r="172">
      <c r="E172" s="24"/>
      <c r="L172" s="25"/>
    </row>
    <row r="173">
      <c r="E173" s="24"/>
      <c r="L173" s="25"/>
    </row>
    <row r="174">
      <c r="E174" s="24"/>
      <c r="L174" s="25"/>
    </row>
    <row r="175">
      <c r="E175" s="24"/>
      <c r="L175" s="25"/>
    </row>
    <row r="176">
      <c r="E176" s="24"/>
      <c r="L176" s="25"/>
    </row>
    <row r="177">
      <c r="E177" s="24"/>
      <c r="L177" s="25"/>
    </row>
    <row r="178">
      <c r="E178" s="24"/>
      <c r="L178" s="25"/>
    </row>
    <row r="179">
      <c r="E179" s="24"/>
      <c r="L179" s="25"/>
    </row>
    <row r="180">
      <c r="E180" s="24"/>
      <c r="L180" s="25"/>
    </row>
    <row r="181">
      <c r="E181" s="24"/>
      <c r="L181" s="25"/>
    </row>
    <row r="182">
      <c r="E182" s="24"/>
      <c r="L182" s="25"/>
    </row>
    <row r="183">
      <c r="E183" s="24"/>
      <c r="L183" s="25"/>
    </row>
    <row r="184">
      <c r="E184" s="24"/>
      <c r="L184" s="25"/>
    </row>
    <row r="185">
      <c r="E185" s="24"/>
      <c r="L185" s="25"/>
    </row>
    <row r="186">
      <c r="E186" s="24"/>
      <c r="L186" s="25"/>
    </row>
    <row r="187">
      <c r="E187" s="24"/>
      <c r="L187" s="25"/>
    </row>
    <row r="188">
      <c r="E188" s="24"/>
      <c r="L188" s="25"/>
    </row>
    <row r="189">
      <c r="E189" s="24"/>
      <c r="L189" s="25"/>
    </row>
    <row r="190">
      <c r="E190" s="24"/>
      <c r="L190" s="25"/>
    </row>
    <row r="191">
      <c r="E191" s="24"/>
      <c r="L191" s="25"/>
    </row>
    <row r="192">
      <c r="E192" s="24"/>
      <c r="L192" s="25"/>
    </row>
    <row r="193">
      <c r="E193" s="24"/>
      <c r="L193" s="25"/>
    </row>
    <row r="194">
      <c r="E194" s="24"/>
      <c r="L194" s="25"/>
    </row>
    <row r="195">
      <c r="E195" s="24"/>
      <c r="L195" s="25"/>
    </row>
    <row r="196">
      <c r="E196" s="24"/>
      <c r="L196" s="25"/>
    </row>
    <row r="197">
      <c r="E197" s="24"/>
      <c r="L197" s="25"/>
    </row>
    <row r="198">
      <c r="E198" s="24"/>
      <c r="L198" s="25"/>
    </row>
    <row r="199">
      <c r="E199" s="24"/>
      <c r="L199" s="25"/>
    </row>
    <row r="200">
      <c r="E200" s="24"/>
      <c r="L200" s="25"/>
    </row>
    <row r="201">
      <c r="E201" s="24"/>
      <c r="L201" s="25"/>
    </row>
    <row r="202">
      <c r="E202" s="24"/>
      <c r="L202" s="25"/>
    </row>
    <row r="203">
      <c r="E203" s="24"/>
      <c r="L203" s="25"/>
    </row>
    <row r="204">
      <c r="E204" s="24"/>
      <c r="L204" s="25"/>
    </row>
    <row r="205">
      <c r="E205" s="24"/>
      <c r="L205" s="25"/>
    </row>
    <row r="206">
      <c r="E206" s="24"/>
      <c r="L206" s="25"/>
    </row>
    <row r="207">
      <c r="E207" s="24"/>
      <c r="L207" s="25"/>
    </row>
    <row r="208">
      <c r="E208" s="24"/>
      <c r="L208" s="25"/>
    </row>
    <row r="209">
      <c r="E209" s="24"/>
      <c r="L209" s="25"/>
    </row>
    <row r="210">
      <c r="E210" s="24"/>
      <c r="L210" s="25"/>
    </row>
    <row r="211">
      <c r="E211" s="24"/>
      <c r="L211" s="25"/>
    </row>
    <row r="212">
      <c r="E212" s="24"/>
      <c r="L212" s="25"/>
    </row>
    <row r="213">
      <c r="E213" s="24"/>
      <c r="L213" s="25"/>
    </row>
    <row r="214">
      <c r="E214" s="24"/>
      <c r="L214" s="25"/>
    </row>
    <row r="215">
      <c r="E215" s="24"/>
      <c r="L215" s="25"/>
    </row>
    <row r="216">
      <c r="E216" s="24"/>
      <c r="L216" s="25"/>
    </row>
    <row r="217">
      <c r="E217" s="24"/>
      <c r="L217" s="25"/>
    </row>
    <row r="218">
      <c r="E218" s="24"/>
      <c r="L218" s="25"/>
    </row>
    <row r="219">
      <c r="E219" s="24"/>
      <c r="L219" s="25"/>
    </row>
    <row r="220">
      <c r="E220" s="24"/>
      <c r="L220" s="25"/>
    </row>
    <row r="221">
      <c r="E221" s="24"/>
      <c r="L221" s="25"/>
    </row>
    <row r="222">
      <c r="E222" s="24"/>
      <c r="L222" s="25"/>
    </row>
    <row r="223">
      <c r="E223" s="24"/>
      <c r="L223" s="25"/>
    </row>
    <row r="224">
      <c r="E224" s="24"/>
      <c r="L224" s="25"/>
    </row>
    <row r="225">
      <c r="E225" s="24"/>
      <c r="L225" s="25"/>
    </row>
    <row r="226">
      <c r="E226" s="24"/>
      <c r="L226" s="25"/>
    </row>
    <row r="227">
      <c r="E227" s="24"/>
      <c r="L227" s="25"/>
    </row>
    <row r="228">
      <c r="E228" s="24"/>
      <c r="L228" s="25"/>
    </row>
    <row r="229">
      <c r="E229" s="24"/>
      <c r="L229" s="25"/>
    </row>
    <row r="230">
      <c r="E230" s="24"/>
      <c r="L230" s="25"/>
    </row>
    <row r="231">
      <c r="E231" s="24"/>
      <c r="L231" s="25"/>
    </row>
    <row r="232">
      <c r="E232" s="24"/>
      <c r="L232" s="25"/>
    </row>
    <row r="233">
      <c r="E233" s="24"/>
      <c r="L233" s="25"/>
    </row>
    <row r="234">
      <c r="E234" s="24"/>
      <c r="L234" s="25"/>
    </row>
    <row r="235">
      <c r="E235" s="24"/>
      <c r="L235" s="25"/>
    </row>
    <row r="236">
      <c r="E236" s="24"/>
      <c r="L236" s="25"/>
    </row>
    <row r="237">
      <c r="E237" s="24"/>
      <c r="L237" s="25"/>
    </row>
    <row r="238">
      <c r="E238" s="24"/>
      <c r="L238" s="25"/>
    </row>
    <row r="239">
      <c r="E239" s="24"/>
      <c r="L239" s="25"/>
    </row>
    <row r="240">
      <c r="E240" s="24"/>
      <c r="L240" s="25"/>
    </row>
    <row r="241">
      <c r="E241" s="24"/>
      <c r="L241" s="25"/>
    </row>
    <row r="242">
      <c r="E242" s="24"/>
      <c r="L242" s="25"/>
    </row>
    <row r="243">
      <c r="E243" s="24"/>
      <c r="L243" s="25"/>
    </row>
    <row r="244">
      <c r="E244" s="24"/>
      <c r="L244" s="25"/>
    </row>
    <row r="245">
      <c r="E245" s="24"/>
      <c r="L245" s="25"/>
    </row>
    <row r="246">
      <c r="E246" s="24"/>
      <c r="L246" s="25"/>
    </row>
    <row r="247">
      <c r="E247" s="24"/>
      <c r="L247" s="25"/>
    </row>
    <row r="248">
      <c r="E248" s="24"/>
      <c r="L248" s="25"/>
    </row>
    <row r="249">
      <c r="E249" s="24"/>
      <c r="L249" s="25"/>
    </row>
    <row r="250">
      <c r="E250" s="24"/>
      <c r="L250" s="25"/>
    </row>
    <row r="251">
      <c r="E251" s="24"/>
      <c r="L251" s="25"/>
    </row>
    <row r="252">
      <c r="E252" s="24"/>
      <c r="L252" s="25"/>
    </row>
    <row r="253">
      <c r="E253" s="24"/>
      <c r="L253" s="25"/>
    </row>
    <row r="254">
      <c r="E254" s="24"/>
      <c r="L254" s="25"/>
    </row>
    <row r="255">
      <c r="E255" s="24"/>
      <c r="L255" s="25"/>
    </row>
    <row r="256">
      <c r="E256" s="24"/>
      <c r="L256" s="25"/>
    </row>
    <row r="257">
      <c r="E257" s="24"/>
      <c r="L257" s="25"/>
    </row>
    <row r="258">
      <c r="E258" s="24"/>
      <c r="L258" s="25"/>
    </row>
    <row r="259">
      <c r="E259" s="24"/>
      <c r="L259" s="25"/>
    </row>
    <row r="260">
      <c r="E260" s="24"/>
      <c r="L260" s="25"/>
    </row>
    <row r="261">
      <c r="E261" s="24"/>
      <c r="L261" s="25"/>
    </row>
    <row r="262">
      <c r="E262" s="24"/>
      <c r="L262" s="25"/>
    </row>
    <row r="263">
      <c r="E263" s="24"/>
      <c r="L263" s="25"/>
    </row>
    <row r="264">
      <c r="E264" s="24"/>
      <c r="L264" s="25"/>
    </row>
    <row r="265">
      <c r="E265" s="24"/>
      <c r="L265" s="25"/>
    </row>
    <row r="266">
      <c r="E266" s="24"/>
      <c r="L266" s="25"/>
    </row>
    <row r="267">
      <c r="E267" s="24"/>
      <c r="L267" s="25"/>
    </row>
    <row r="268">
      <c r="E268" s="24"/>
      <c r="L268" s="25"/>
    </row>
    <row r="269">
      <c r="E269" s="24"/>
      <c r="L269" s="25"/>
    </row>
    <row r="270">
      <c r="E270" s="24"/>
      <c r="L270" s="25"/>
    </row>
    <row r="271">
      <c r="E271" s="24"/>
      <c r="L271" s="25"/>
    </row>
    <row r="272">
      <c r="E272" s="24"/>
      <c r="L272" s="25"/>
    </row>
    <row r="273">
      <c r="E273" s="24"/>
      <c r="L273" s="25"/>
    </row>
    <row r="274">
      <c r="E274" s="24"/>
      <c r="L274" s="25"/>
    </row>
    <row r="275">
      <c r="E275" s="24"/>
      <c r="L275" s="25"/>
    </row>
    <row r="276">
      <c r="E276" s="24"/>
      <c r="L276" s="25"/>
    </row>
    <row r="277">
      <c r="E277" s="24"/>
      <c r="L277" s="25"/>
    </row>
    <row r="278">
      <c r="E278" s="24"/>
      <c r="L278" s="25"/>
    </row>
    <row r="279">
      <c r="E279" s="24"/>
      <c r="L279" s="25"/>
    </row>
    <row r="280">
      <c r="E280" s="24"/>
      <c r="L280" s="25"/>
    </row>
    <row r="281">
      <c r="E281" s="24"/>
      <c r="L281" s="25"/>
    </row>
    <row r="282">
      <c r="E282" s="24"/>
      <c r="L282" s="25"/>
    </row>
    <row r="283">
      <c r="E283" s="24"/>
      <c r="L283" s="25"/>
    </row>
    <row r="284">
      <c r="E284" s="24"/>
      <c r="L284" s="25"/>
    </row>
    <row r="285">
      <c r="E285" s="24"/>
      <c r="L285" s="25"/>
    </row>
    <row r="286">
      <c r="E286" s="24"/>
      <c r="L286" s="25"/>
    </row>
    <row r="287">
      <c r="E287" s="24"/>
      <c r="L287" s="25"/>
    </row>
    <row r="288">
      <c r="E288" s="24"/>
      <c r="L288" s="25"/>
    </row>
    <row r="289">
      <c r="E289" s="24"/>
      <c r="L289" s="25"/>
    </row>
    <row r="290">
      <c r="E290" s="24"/>
      <c r="L290" s="25"/>
    </row>
    <row r="291">
      <c r="E291" s="24"/>
      <c r="L291" s="25"/>
    </row>
    <row r="292">
      <c r="E292" s="24"/>
      <c r="L292" s="25"/>
    </row>
    <row r="293">
      <c r="E293" s="24"/>
      <c r="L293" s="25"/>
    </row>
    <row r="294">
      <c r="E294" s="24"/>
      <c r="L294" s="25"/>
    </row>
    <row r="295">
      <c r="E295" s="24"/>
      <c r="L295" s="25"/>
    </row>
    <row r="296">
      <c r="E296" s="24"/>
      <c r="L296" s="25"/>
    </row>
    <row r="297">
      <c r="E297" s="24"/>
      <c r="L297" s="25"/>
    </row>
    <row r="298">
      <c r="E298" s="24"/>
      <c r="L298" s="25"/>
    </row>
    <row r="299">
      <c r="E299" s="24"/>
      <c r="L299" s="25"/>
    </row>
    <row r="300">
      <c r="E300" s="24"/>
      <c r="L300" s="25"/>
    </row>
    <row r="301">
      <c r="E301" s="24"/>
      <c r="L301" s="25"/>
    </row>
    <row r="302">
      <c r="E302" s="24"/>
      <c r="L302" s="25"/>
    </row>
    <row r="303">
      <c r="E303" s="24"/>
      <c r="L303" s="25"/>
    </row>
    <row r="304">
      <c r="E304" s="24"/>
      <c r="L304" s="25"/>
    </row>
    <row r="305">
      <c r="E305" s="24"/>
      <c r="L305" s="25"/>
    </row>
    <row r="306">
      <c r="E306" s="24"/>
      <c r="L306" s="25"/>
    </row>
    <row r="307">
      <c r="E307" s="24"/>
      <c r="L307" s="25"/>
    </row>
    <row r="308">
      <c r="E308" s="24"/>
      <c r="L308" s="25"/>
    </row>
    <row r="309">
      <c r="E309" s="24"/>
      <c r="L309" s="25"/>
    </row>
    <row r="310">
      <c r="E310" s="24"/>
      <c r="L310" s="25"/>
    </row>
    <row r="311">
      <c r="E311" s="24"/>
      <c r="L311" s="25"/>
    </row>
    <row r="312">
      <c r="E312" s="24"/>
      <c r="L312" s="25"/>
    </row>
    <row r="313">
      <c r="E313" s="24"/>
      <c r="L313" s="25"/>
    </row>
    <row r="314">
      <c r="E314" s="24"/>
      <c r="L314" s="25"/>
    </row>
    <row r="315">
      <c r="E315" s="24"/>
      <c r="L315" s="25"/>
    </row>
    <row r="316">
      <c r="E316" s="24"/>
      <c r="L316" s="25"/>
    </row>
    <row r="317">
      <c r="E317" s="24"/>
      <c r="L317" s="25"/>
    </row>
    <row r="318">
      <c r="E318" s="24"/>
      <c r="L318" s="25"/>
    </row>
    <row r="319">
      <c r="E319" s="24"/>
      <c r="L319" s="25"/>
    </row>
    <row r="320">
      <c r="E320" s="24"/>
      <c r="L320" s="25"/>
    </row>
    <row r="321">
      <c r="E321" s="24"/>
      <c r="L321" s="25"/>
    </row>
    <row r="322">
      <c r="E322" s="24"/>
      <c r="L322" s="25"/>
    </row>
    <row r="323">
      <c r="E323" s="24"/>
      <c r="L323" s="25"/>
    </row>
    <row r="324">
      <c r="E324" s="24"/>
      <c r="L324" s="25"/>
    </row>
    <row r="325">
      <c r="E325" s="24"/>
      <c r="L325" s="25"/>
    </row>
    <row r="326">
      <c r="E326" s="24"/>
      <c r="L326" s="25"/>
    </row>
    <row r="327">
      <c r="E327" s="24"/>
      <c r="L327" s="25"/>
    </row>
    <row r="328">
      <c r="E328" s="24"/>
      <c r="L328" s="25"/>
    </row>
    <row r="329">
      <c r="E329" s="24"/>
      <c r="L329" s="25"/>
    </row>
    <row r="330">
      <c r="E330" s="24"/>
      <c r="L330" s="25"/>
    </row>
    <row r="331">
      <c r="E331" s="24"/>
      <c r="L331" s="25"/>
    </row>
    <row r="332">
      <c r="E332" s="24"/>
      <c r="L332" s="25"/>
    </row>
    <row r="333">
      <c r="E333" s="24"/>
      <c r="L333" s="25"/>
    </row>
    <row r="334">
      <c r="E334" s="24"/>
      <c r="L334" s="25"/>
    </row>
    <row r="335">
      <c r="E335" s="24"/>
      <c r="L335" s="25"/>
    </row>
    <row r="336">
      <c r="E336" s="24"/>
      <c r="L336" s="25"/>
    </row>
    <row r="337">
      <c r="E337" s="24"/>
      <c r="L337" s="25"/>
    </row>
    <row r="338">
      <c r="E338" s="24"/>
      <c r="L338" s="25"/>
    </row>
    <row r="339">
      <c r="E339" s="24"/>
      <c r="L339" s="25"/>
    </row>
    <row r="340">
      <c r="E340" s="24"/>
      <c r="L340" s="25"/>
    </row>
    <row r="341">
      <c r="E341" s="24"/>
      <c r="L341" s="25"/>
    </row>
    <row r="342">
      <c r="E342" s="24"/>
      <c r="L342" s="25"/>
    </row>
    <row r="343">
      <c r="E343" s="24"/>
      <c r="L343" s="25"/>
    </row>
    <row r="344">
      <c r="E344" s="24"/>
      <c r="L344" s="25"/>
    </row>
    <row r="345">
      <c r="E345" s="24"/>
      <c r="L345" s="25"/>
    </row>
    <row r="346">
      <c r="E346" s="24"/>
      <c r="L346" s="25"/>
    </row>
    <row r="347">
      <c r="E347" s="24"/>
      <c r="L347" s="25"/>
    </row>
    <row r="348">
      <c r="E348" s="24"/>
      <c r="L348" s="25"/>
    </row>
    <row r="349">
      <c r="E349" s="24"/>
      <c r="L349" s="25"/>
    </row>
    <row r="350">
      <c r="E350" s="24"/>
      <c r="L350" s="25"/>
    </row>
    <row r="351">
      <c r="E351" s="24"/>
      <c r="L351" s="25"/>
    </row>
    <row r="352">
      <c r="E352" s="24"/>
      <c r="L352" s="25"/>
    </row>
    <row r="353">
      <c r="E353" s="24"/>
      <c r="L353" s="25"/>
    </row>
    <row r="354">
      <c r="E354" s="24"/>
      <c r="L354" s="25"/>
    </row>
    <row r="355">
      <c r="E355" s="24"/>
      <c r="L355" s="25"/>
    </row>
    <row r="356">
      <c r="E356" s="24"/>
      <c r="L356" s="25"/>
    </row>
    <row r="357">
      <c r="E357" s="24"/>
      <c r="L357" s="25"/>
    </row>
    <row r="358">
      <c r="E358" s="24"/>
      <c r="L358" s="25"/>
    </row>
    <row r="359">
      <c r="E359" s="24"/>
      <c r="L359" s="25"/>
    </row>
    <row r="360">
      <c r="E360" s="24"/>
      <c r="L360" s="25"/>
    </row>
    <row r="361">
      <c r="E361" s="24"/>
      <c r="L361" s="25"/>
    </row>
    <row r="362">
      <c r="E362" s="24"/>
      <c r="L362" s="25"/>
    </row>
    <row r="363">
      <c r="E363" s="24"/>
      <c r="L363" s="25"/>
    </row>
    <row r="364">
      <c r="E364" s="24"/>
      <c r="L364" s="25"/>
    </row>
    <row r="365">
      <c r="E365" s="24"/>
      <c r="L365" s="25"/>
    </row>
    <row r="366">
      <c r="E366" s="24"/>
      <c r="L366" s="25"/>
    </row>
    <row r="367">
      <c r="E367" s="24"/>
      <c r="L367" s="25"/>
    </row>
    <row r="368">
      <c r="E368" s="24"/>
      <c r="L368" s="25"/>
    </row>
    <row r="369">
      <c r="E369" s="24"/>
      <c r="L369" s="25"/>
    </row>
    <row r="370">
      <c r="E370" s="24"/>
      <c r="L370" s="25"/>
    </row>
    <row r="371">
      <c r="E371" s="24"/>
      <c r="L371" s="25"/>
    </row>
    <row r="372">
      <c r="E372" s="24"/>
      <c r="L372" s="25"/>
    </row>
    <row r="373">
      <c r="E373" s="24"/>
      <c r="L373" s="25"/>
    </row>
    <row r="374">
      <c r="E374" s="24"/>
      <c r="L374" s="25"/>
    </row>
    <row r="375">
      <c r="E375" s="24"/>
      <c r="L375" s="25"/>
    </row>
    <row r="376">
      <c r="E376" s="24"/>
      <c r="L376" s="25"/>
    </row>
    <row r="377">
      <c r="E377" s="24"/>
      <c r="L377" s="25"/>
    </row>
    <row r="378">
      <c r="E378" s="24"/>
      <c r="L378" s="25"/>
    </row>
    <row r="379">
      <c r="E379" s="24"/>
      <c r="L379" s="25"/>
    </row>
    <row r="380">
      <c r="E380" s="24"/>
      <c r="L380" s="25"/>
    </row>
    <row r="381">
      <c r="E381" s="24"/>
      <c r="L381" s="25"/>
    </row>
    <row r="382">
      <c r="E382" s="24"/>
      <c r="L382" s="25"/>
    </row>
    <row r="383">
      <c r="E383" s="24"/>
      <c r="L383" s="25"/>
    </row>
    <row r="384">
      <c r="E384" s="24"/>
      <c r="L384" s="25"/>
    </row>
    <row r="385">
      <c r="E385" s="24"/>
      <c r="L385" s="25"/>
    </row>
    <row r="386">
      <c r="E386" s="24"/>
      <c r="L386" s="25"/>
    </row>
    <row r="387">
      <c r="E387" s="24"/>
      <c r="L387" s="25"/>
    </row>
    <row r="388">
      <c r="E388" s="24"/>
      <c r="L388" s="25"/>
    </row>
    <row r="389">
      <c r="E389" s="24"/>
      <c r="L389" s="25"/>
    </row>
    <row r="390">
      <c r="E390" s="24"/>
      <c r="L390" s="25"/>
    </row>
    <row r="391">
      <c r="E391" s="24"/>
      <c r="L391" s="25"/>
    </row>
    <row r="392">
      <c r="E392" s="24"/>
      <c r="L392" s="25"/>
    </row>
    <row r="393">
      <c r="E393" s="24"/>
      <c r="L393" s="25"/>
    </row>
    <row r="394">
      <c r="E394" s="24"/>
      <c r="L394" s="25"/>
    </row>
    <row r="395">
      <c r="E395" s="24"/>
      <c r="L395" s="25"/>
    </row>
    <row r="396">
      <c r="E396" s="24"/>
      <c r="L396" s="25"/>
    </row>
    <row r="397">
      <c r="E397" s="24"/>
      <c r="L397" s="25"/>
    </row>
    <row r="398">
      <c r="E398" s="24"/>
      <c r="L398" s="25"/>
    </row>
    <row r="399">
      <c r="E399" s="24"/>
      <c r="L399" s="25"/>
    </row>
    <row r="400">
      <c r="E400" s="24"/>
      <c r="L400" s="25"/>
    </row>
    <row r="401">
      <c r="E401" s="24"/>
      <c r="L401" s="25"/>
    </row>
    <row r="402">
      <c r="E402" s="24"/>
      <c r="L402" s="25"/>
    </row>
    <row r="403">
      <c r="E403" s="24"/>
      <c r="L403" s="25"/>
    </row>
    <row r="404">
      <c r="E404" s="24"/>
      <c r="L404" s="25"/>
    </row>
    <row r="405">
      <c r="E405" s="24"/>
      <c r="L405" s="25"/>
    </row>
    <row r="406">
      <c r="E406" s="24"/>
      <c r="L406" s="25"/>
    </row>
    <row r="407">
      <c r="E407" s="24"/>
      <c r="L407" s="25"/>
    </row>
    <row r="408">
      <c r="E408" s="24"/>
      <c r="L408" s="25"/>
    </row>
    <row r="409">
      <c r="E409" s="24"/>
      <c r="L409" s="25"/>
    </row>
    <row r="410">
      <c r="E410" s="24"/>
      <c r="L410" s="25"/>
    </row>
    <row r="411">
      <c r="E411" s="24"/>
      <c r="L411" s="25"/>
    </row>
    <row r="412">
      <c r="E412" s="24"/>
      <c r="L412" s="25"/>
    </row>
    <row r="413">
      <c r="E413" s="24"/>
      <c r="L413" s="25"/>
    </row>
    <row r="414">
      <c r="E414" s="24"/>
      <c r="L414" s="25"/>
    </row>
    <row r="415">
      <c r="E415" s="24"/>
      <c r="L415" s="25"/>
    </row>
    <row r="416">
      <c r="E416" s="24"/>
      <c r="L416" s="25"/>
    </row>
    <row r="417">
      <c r="E417" s="24"/>
      <c r="L417" s="25"/>
    </row>
    <row r="418">
      <c r="E418" s="24"/>
      <c r="L418" s="25"/>
    </row>
    <row r="419">
      <c r="E419" s="24"/>
      <c r="L419" s="25"/>
    </row>
    <row r="420">
      <c r="E420" s="24"/>
      <c r="L420" s="25"/>
    </row>
    <row r="421">
      <c r="E421" s="24"/>
      <c r="L421" s="25"/>
    </row>
    <row r="422">
      <c r="E422" s="24"/>
      <c r="L422" s="25"/>
    </row>
    <row r="423">
      <c r="E423" s="24"/>
      <c r="L423" s="25"/>
    </row>
    <row r="424">
      <c r="E424" s="24"/>
      <c r="L424" s="25"/>
    </row>
    <row r="425">
      <c r="E425" s="24"/>
      <c r="L425" s="25"/>
    </row>
    <row r="426">
      <c r="E426" s="24"/>
      <c r="L426" s="25"/>
    </row>
    <row r="427">
      <c r="E427" s="24"/>
      <c r="L427" s="25"/>
    </row>
    <row r="428">
      <c r="E428" s="24"/>
      <c r="L428" s="25"/>
    </row>
    <row r="429">
      <c r="E429" s="24"/>
      <c r="L429" s="25"/>
    </row>
    <row r="430">
      <c r="E430" s="24"/>
      <c r="L430" s="25"/>
    </row>
    <row r="431">
      <c r="E431" s="24"/>
      <c r="L431" s="25"/>
    </row>
    <row r="432">
      <c r="E432" s="24"/>
      <c r="L432" s="25"/>
    </row>
    <row r="433">
      <c r="E433" s="24"/>
      <c r="L433" s="25"/>
    </row>
    <row r="434">
      <c r="E434" s="24"/>
      <c r="L434" s="25"/>
    </row>
    <row r="435">
      <c r="E435" s="24"/>
      <c r="L435" s="25"/>
    </row>
    <row r="436">
      <c r="E436" s="24"/>
      <c r="L436" s="25"/>
    </row>
    <row r="437">
      <c r="E437" s="24"/>
      <c r="L437" s="25"/>
    </row>
    <row r="438">
      <c r="E438" s="24"/>
      <c r="L438" s="25"/>
    </row>
    <row r="439">
      <c r="E439" s="24"/>
      <c r="L439" s="25"/>
    </row>
    <row r="440">
      <c r="E440" s="24"/>
      <c r="L440" s="25"/>
    </row>
    <row r="441">
      <c r="E441" s="24"/>
      <c r="L441" s="25"/>
    </row>
    <row r="442">
      <c r="E442" s="24"/>
      <c r="L442" s="25"/>
    </row>
    <row r="443">
      <c r="E443" s="24"/>
      <c r="L443" s="25"/>
    </row>
    <row r="444">
      <c r="E444" s="24"/>
      <c r="L444" s="25"/>
    </row>
    <row r="445">
      <c r="E445" s="24"/>
      <c r="L445" s="25"/>
    </row>
    <row r="446">
      <c r="E446" s="24"/>
      <c r="L446" s="25"/>
    </row>
    <row r="447">
      <c r="E447" s="24"/>
      <c r="L447" s="25"/>
    </row>
    <row r="448">
      <c r="E448" s="24"/>
      <c r="L448" s="25"/>
    </row>
    <row r="449">
      <c r="E449" s="24"/>
      <c r="L449" s="25"/>
    </row>
    <row r="450">
      <c r="E450" s="24"/>
      <c r="L450" s="25"/>
    </row>
    <row r="451">
      <c r="E451" s="24"/>
      <c r="L451" s="25"/>
    </row>
    <row r="452">
      <c r="E452" s="24"/>
      <c r="L452" s="25"/>
    </row>
    <row r="453">
      <c r="E453" s="24"/>
      <c r="L453" s="25"/>
    </row>
    <row r="454">
      <c r="E454" s="24"/>
      <c r="L454" s="25"/>
    </row>
    <row r="455">
      <c r="E455" s="24"/>
      <c r="L455" s="25"/>
    </row>
    <row r="456">
      <c r="E456" s="24"/>
      <c r="L456" s="25"/>
    </row>
    <row r="457">
      <c r="E457" s="24"/>
      <c r="L457" s="25"/>
    </row>
    <row r="458">
      <c r="E458" s="24"/>
      <c r="L458" s="25"/>
    </row>
    <row r="459">
      <c r="E459" s="24"/>
      <c r="L459" s="25"/>
    </row>
    <row r="460">
      <c r="E460" s="24"/>
      <c r="L460" s="25"/>
    </row>
    <row r="461">
      <c r="E461" s="24"/>
      <c r="L461" s="25"/>
    </row>
    <row r="462">
      <c r="E462" s="24"/>
      <c r="L462" s="25"/>
    </row>
    <row r="463">
      <c r="E463" s="24"/>
      <c r="L463" s="25"/>
    </row>
    <row r="464">
      <c r="E464" s="24"/>
      <c r="L464" s="25"/>
    </row>
    <row r="465">
      <c r="E465" s="24"/>
      <c r="L465" s="25"/>
    </row>
    <row r="466">
      <c r="E466" s="24"/>
      <c r="L466" s="25"/>
    </row>
    <row r="467">
      <c r="E467" s="24"/>
      <c r="L467" s="25"/>
    </row>
    <row r="468">
      <c r="E468" s="24"/>
      <c r="L468" s="25"/>
    </row>
    <row r="469">
      <c r="E469" s="24"/>
      <c r="L469" s="25"/>
    </row>
    <row r="470">
      <c r="E470" s="24"/>
      <c r="L470" s="25"/>
    </row>
    <row r="471">
      <c r="E471" s="24"/>
      <c r="L471" s="25"/>
    </row>
    <row r="472">
      <c r="E472" s="24"/>
      <c r="L472" s="25"/>
    </row>
    <row r="473">
      <c r="E473" s="24"/>
      <c r="L473" s="25"/>
    </row>
    <row r="474">
      <c r="E474" s="24"/>
      <c r="L474" s="25"/>
    </row>
    <row r="475">
      <c r="E475" s="24"/>
      <c r="L475" s="25"/>
    </row>
    <row r="476">
      <c r="E476" s="24"/>
      <c r="L476" s="25"/>
    </row>
    <row r="477">
      <c r="E477" s="24"/>
      <c r="L477" s="25"/>
    </row>
    <row r="478">
      <c r="E478" s="24"/>
      <c r="L478" s="25"/>
    </row>
    <row r="479">
      <c r="E479" s="24"/>
      <c r="L479" s="25"/>
    </row>
    <row r="480">
      <c r="E480" s="24"/>
      <c r="L480" s="25"/>
    </row>
    <row r="481">
      <c r="E481" s="24"/>
      <c r="L481" s="25"/>
    </row>
    <row r="482">
      <c r="E482" s="24"/>
      <c r="L482" s="25"/>
    </row>
    <row r="483">
      <c r="E483" s="24"/>
      <c r="L483" s="25"/>
    </row>
    <row r="484">
      <c r="E484" s="24"/>
      <c r="L484" s="25"/>
    </row>
    <row r="485">
      <c r="E485" s="24"/>
      <c r="L485" s="25"/>
    </row>
    <row r="486">
      <c r="E486" s="24"/>
      <c r="L486" s="25"/>
    </row>
    <row r="487">
      <c r="E487" s="24"/>
      <c r="L487" s="25"/>
    </row>
    <row r="488">
      <c r="E488" s="24"/>
      <c r="L488" s="25"/>
    </row>
    <row r="489">
      <c r="E489" s="24"/>
      <c r="L489" s="25"/>
    </row>
    <row r="490">
      <c r="E490" s="24"/>
      <c r="L490" s="25"/>
    </row>
    <row r="491">
      <c r="E491" s="24"/>
      <c r="L491" s="25"/>
    </row>
    <row r="492">
      <c r="E492" s="24"/>
      <c r="L492" s="25"/>
    </row>
    <row r="493">
      <c r="E493" s="24"/>
      <c r="L493" s="25"/>
    </row>
    <row r="494">
      <c r="E494" s="24"/>
      <c r="L494" s="25"/>
    </row>
    <row r="495">
      <c r="E495" s="24"/>
      <c r="L495" s="25"/>
    </row>
    <row r="496">
      <c r="E496" s="24"/>
      <c r="L496" s="25"/>
    </row>
    <row r="497">
      <c r="E497" s="24"/>
      <c r="L497" s="25"/>
    </row>
    <row r="498">
      <c r="E498" s="24"/>
      <c r="L498" s="25"/>
    </row>
    <row r="499">
      <c r="E499" s="24"/>
      <c r="L499" s="25"/>
    </row>
    <row r="500">
      <c r="E500" s="24"/>
      <c r="L500" s="25"/>
    </row>
    <row r="501">
      <c r="E501" s="24"/>
      <c r="L501" s="25"/>
    </row>
    <row r="502">
      <c r="E502" s="24"/>
      <c r="L502" s="25"/>
    </row>
    <row r="503">
      <c r="E503" s="24"/>
      <c r="L503" s="25"/>
    </row>
    <row r="504">
      <c r="E504" s="24"/>
      <c r="L504" s="25"/>
    </row>
    <row r="505">
      <c r="E505" s="24"/>
      <c r="L505" s="25"/>
    </row>
    <row r="506">
      <c r="E506" s="24"/>
      <c r="L506" s="25"/>
    </row>
    <row r="507">
      <c r="E507" s="24"/>
      <c r="L507" s="25"/>
    </row>
    <row r="508">
      <c r="E508" s="24"/>
      <c r="L508" s="25"/>
    </row>
    <row r="509">
      <c r="E509" s="24"/>
      <c r="L509" s="25"/>
    </row>
    <row r="510">
      <c r="E510" s="24"/>
      <c r="L510" s="25"/>
    </row>
    <row r="511">
      <c r="E511" s="24"/>
      <c r="L511" s="25"/>
    </row>
    <row r="512">
      <c r="E512" s="24"/>
      <c r="L512" s="25"/>
    </row>
    <row r="513">
      <c r="E513" s="24"/>
      <c r="L513" s="25"/>
    </row>
    <row r="514">
      <c r="E514" s="24"/>
      <c r="L514" s="25"/>
    </row>
    <row r="515">
      <c r="E515" s="24"/>
      <c r="L515" s="25"/>
    </row>
    <row r="516">
      <c r="E516" s="24"/>
      <c r="L516" s="25"/>
    </row>
    <row r="517">
      <c r="E517" s="24"/>
      <c r="L517" s="25"/>
    </row>
    <row r="518">
      <c r="E518" s="24"/>
      <c r="L518" s="25"/>
    </row>
    <row r="519">
      <c r="E519" s="24"/>
      <c r="L519" s="25"/>
    </row>
    <row r="520">
      <c r="E520" s="24"/>
      <c r="L520" s="25"/>
    </row>
    <row r="521">
      <c r="E521" s="24"/>
      <c r="L521" s="25"/>
    </row>
    <row r="522">
      <c r="E522" s="24"/>
      <c r="L522" s="25"/>
    </row>
    <row r="523">
      <c r="E523" s="24"/>
      <c r="L523" s="25"/>
    </row>
    <row r="524">
      <c r="E524" s="24"/>
      <c r="L524" s="25"/>
    </row>
    <row r="525">
      <c r="E525" s="24"/>
      <c r="L525" s="25"/>
    </row>
    <row r="526">
      <c r="E526" s="24"/>
      <c r="L526" s="25"/>
    </row>
    <row r="527">
      <c r="E527" s="24"/>
      <c r="L527" s="25"/>
    </row>
    <row r="528">
      <c r="E528" s="24"/>
      <c r="L528" s="25"/>
    </row>
    <row r="529">
      <c r="E529" s="24"/>
      <c r="L529" s="25"/>
    </row>
    <row r="530">
      <c r="E530" s="24"/>
      <c r="L530" s="25"/>
    </row>
    <row r="531">
      <c r="E531" s="24"/>
      <c r="L531" s="25"/>
    </row>
    <row r="532">
      <c r="E532" s="24"/>
      <c r="L532" s="25"/>
    </row>
    <row r="533">
      <c r="E533" s="24"/>
      <c r="L533" s="25"/>
    </row>
    <row r="534">
      <c r="E534" s="24"/>
      <c r="L534" s="25"/>
    </row>
    <row r="535">
      <c r="E535" s="24"/>
      <c r="L535" s="25"/>
    </row>
    <row r="536">
      <c r="E536" s="24"/>
      <c r="L536" s="25"/>
    </row>
    <row r="537">
      <c r="E537" s="24"/>
      <c r="L537" s="25"/>
    </row>
    <row r="538">
      <c r="E538" s="24"/>
      <c r="L538" s="25"/>
    </row>
    <row r="539">
      <c r="E539" s="24"/>
      <c r="L539" s="25"/>
    </row>
    <row r="540">
      <c r="E540" s="24"/>
      <c r="L540" s="25"/>
    </row>
    <row r="541">
      <c r="E541" s="24"/>
      <c r="L541" s="25"/>
    </row>
    <row r="542">
      <c r="E542" s="24"/>
      <c r="L542" s="25"/>
    </row>
    <row r="543">
      <c r="E543" s="24"/>
      <c r="L543" s="25"/>
    </row>
    <row r="544">
      <c r="E544" s="24"/>
      <c r="L544" s="25"/>
    </row>
    <row r="545">
      <c r="E545" s="24"/>
      <c r="L545" s="25"/>
    </row>
    <row r="546">
      <c r="E546" s="24"/>
      <c r="L546" s="25"/>
    </row>
    <row r="547">
      <c r="E547" s="24"/>
      <c r="L547" s="25"/>
    </row>
    <row r="548">
      <c r="E548" s="24"/>
      <c r="L548" s="25"/>
    </row>
    <row r="549">
      <c r="E549" s="24"/>
      <c r="L549" s="25"/>
    </row>
    <row r="550">
      <c r="E550" s="24"/>
      <c r="L550" s="25"/>
    </row>
    <row r="551">
      <c r="E551" s="24"/>
      <c r="L551" s="25"/>
    </row>
    <row r="552">
      <c r="E552" s="24"/>
      <c r="L552" s="25"/>
    </row>
    <row r="553">
      <c r="E553" s="24"/>
      <c r="L553" s="25"/>
    </row>
    <row r="554">
      <c r="E554" s="24"/>
      <c r="L554" s="25"/>
    </row>
    <row r="555">
      <c r="E555" s="24"/>
      <c r="L555" s="25"/>
    </row>
    <row r="556">
      <c r="E556" s="24"/>
      <c r="L556" s="25"/>
    </row>
    <row r="557">
      <c r="E557" s="24"/>
      <c r="L557" s="25"/>
    </row>
    <row r="558">
      <c r="E558" s="24"/>
      <c r="L558" s="25"/>
    </row>
    <row r="559">
      <c r="E559" s="24"/>
      <c r="L559" s="25"/>
    </row>
    <row r="560">
      <c r="E560" s="24"/>
      <c r="L560" s="25"/>
    </row>
    <row r="561">
      <c r="E561" s="24"/>
      <c r="L561" s="25"/>
    </row>
    <row r="562">
      <c r="E562" s="24"/>
      <c r="L562" s="25"/>
    </row>
    <row r="563">
      <c r="E563" s="24"/>
      <c r="L563" s="25"/>
    </row>
    <row r="564">
      <c r="E564" s="24"/>
      <c r="L564" s="25"/>
    </row>
    <row r="565">
      <c r="E565" s="24"/>
      <c r="L565" s="25"/>
    </row>
    <row r="566">
      <c r="E566" s="24"/>
      <c r="L566" s="25"/>
    </row>
    <row r="567">
      <c r="E567" s="24"/>
      <c r="L567" s="25"/>
    </row>
    <row r="568">
      <c r="E568" s="24"/>
      <c r="L568" s="25"/>
    </row>
    <row r="569">
      <c r="E569" s="24"/>
      <c r="L569" s="25"/>
    </row>
    <row r="570">
      <c r="E570" s="24"/>
      <c r="L570" s="25"/>
    </row>
    <row r="571">
      <c r="E571" s="24"/>
      <c r="L571" s="25"/>
    </row>
    <row r="572">
      <c r="E572" s="24"/>
      <c r="L572" s="25"/>
    </row>
    <row r="573">
      <c r="E573" s="24"/>
      <c r="L573" s="25"/>
    </row>
    <row r="574">
      <c r="E574" s="24"/>
      <c r="L574" s="25"/>
    </row>
    <row r="575">
      <c r="E575" s="24"/>
      <c r="L575" s="25"/>
    </row>
    <row r="576">
      <c r="E576" s="24"/>
      <c r="L576" s="25"/>
    </row>
    <row r="577">
      <c r="E577" s="24"/>
      <c r="L577" s="25"/>
    </row>
    <row r="578">
      <c r="E578" s="24"/>
      <c r="L578" s="25"/>
    </row>
    <row r="579">
      <c r="E579" s="24"/>
      <c r="L579" s="25"/>
    </row>
    <row r="580">
      <c r="E580" s="24"/>
      <c r="L580" s="25"/>
    </row>
    <row r="581">
      <c r="E581" s="24"/>
      <c r="L581" s="25"/>
    </row>
    <row r="582">
      <c r="E582" s="24"/>
      <c r="L582" s="25"/>
    </row>
    <row r="583">
      <c r="E583" s="24"/>
      <c r="L583" s="25"/>
    </row>
    <row r="584">
      <c r="E584" s="24"/>
      <c r="L584" s="25"/>
    </row>
    <row r="585">
      <c r="E585" s="24"/>
      <c r="L585" s="25"/>
    </row>
    <row r="586">
      <c r="E586" s="24"/>
      <c r="L586" s="25"/>
    </row>
    <row r="587">
      <c r="E587" s="24"/>
      <c r="L587" s="25"/>
    </row>
    <row r="588">
      <c r="E588" s="24"/>
      <c r="L588" s="25"/>
    </row>
    <row r="589">
      <c r="E589" s="24"/>
      <c r="L589" s="25"/>
    </row>
    <row r="590">
      <c r="E590" s="24"/>
      <c r="L590" s="25"/>
    </row>
    <row r="591">
      <c r="E591" s="24"/>
      <c r="L591" s="25"/>
    </row>
    <row r="592">
      <c r="E592" s="24"/>
      <c r="L592" s="25"/>
    </row>
    <row r="593">
      <c r="E593" s="24"/>
      <c r="L593" s="25"/>
    </row>
    <row r="594">
      <c r="E594" s="24"/>
      <c r="L594" s="25"/>
    </row>
    <row r="595">
      <c r="E595" s="24"/>
      <c r="L595" s="25"/>
    </row>
    <row r="596">
      <c r="E596" s="24"/>
      <c r="L596" s="25"/>
    </row>
    <row r="597">
      <c r="E597" s="24"/>
      <c r="L597" s="25"/>
    </row>
    <row r="598">
      <c r="E598" s="24"/>
      <c r="L598" s="25"/>
    </row>
    <row r="599">
      <c r="E599" s="24"/>
      <c r="L599" s="25"/>
    </row>
    <row r="600">
      <c r="E600" s="24"/>
      <c r="L600" s="25"/>
    </row>
    <row r="601">
      <c r="E601" s="24"/>
      <c r="L601" s="25"/>
    </row>
    <row r="602">
      <c r="E602" s="24"/>
      <c r="L602" s="25"/>
    </row>
    <row r="603">
      <c r="E603" s="24"/>
      <c r="L603" s="25"/>
    </row>
    <row r="604">
      <c r="E604" s="24"/>
      <c r="L604" s="25"/>
    </row>
    <row r="605">
      <c r="E605" s="24"/>
      <c r="L605" s="25"/>
    </row>
    <row r="606">
      <c r="E606" s="24"/>
      <c r="L606" s="25"/>
    </row>
    <row r="607">
      <c r="E607" s="24"/>
      <c r="L607" s="25"/>
    </row>
    <row r="608">
      <c r="E608" s="24"/>
      <c r="L608" s="25"/>
    </row>
    <row r="609">
      <c r="E609" s="24"/>
      <c r="L609" s="25"/>
    </row>
    <row r="610">
      <c r="E610" s="24"/>
      <c r="L610" s="25"/>
    </row>
    <row r="611">
      <c r="E611" s="24"/>
      <c r="L611" s="25"/>
    </row>
    <row r="612">
      <c r="E612" s="24"/>
      <c r="L612" s="25"/>
    </row>
    <row r="613">
      <c r="E613" s="24"/>
      <c r="L613" s="25"/>
    </row>
    <row r="614">
      <c r="E614" s="24"/>
      <c r="L614" s="25"/>
    </row>
    <row r="615">
      <c r="E615" s="24"/>
      <c r="L615" s="25"/>
    </row>
    <row r="616">
      <c r="E616" s="24"/>
      <c r="L616" s="25"/>
    </row>
    <row r="617">
      <c r="E617" s="24"/>
      <c r="L617" s="25"/>
    </row>
    <row r="618">
      <c r="E618" s="24"/>
      <c r="L618" s="25"/>
    </row>
    <row r="619">
      <c r="E619" s="24"/>
      <c r="L619" s="25"/>
    </row>
    <row r="620">
      <c r="E620" s="24"/>
      <c r="L620" s="25"/>
    </row>
    <row r="621">
      <c r="E621" s="24"/>
      <c r="L621" s="25"/>
    </row>
    <row r="622">
      <c r="E622" s="24"/>
      <c r="L622" s="25"/>
    </row>
    <row r="623">
      <c r="E623" s="24"/>
      <c r="L623" s="25"/>
    </row>
    <row r="624">
      <c r="E624" s="24"/>
      <c r="L624" s="25"/>
    </row>
    <row r="625">
      <c r="E625" s="24"/>
      <c r="L625" s="25"/>
    </row>
    <row r="626">
      <c r="E626" s="24"/>
      <c r="L626" s="25"/>
    </row>
    <row r="627">
      <c r="E627" s="24"/>
      <c r="L627" s="25"/>
    </row>
    <row r="628">
      <c r="E628" s="24"/>
      <c r="L628" s="25"/>
    </row>
    <row r="629">
      <c r="E629" s="24"/>
      <c r="L629" s="25"/>
    </row>
    <row r="630">
      <c r="E630" s="24"/>
      <c r="L630" s="25"/>
    </row>
    <row r="631">
      <c r="E631" s="24"/>
      <c r="L631" s="25"/>
    </row>
    <row r="632">
      <c r="E632" s="24"/>
      <c r="L632" s="25"/>
    </row>
    <row r="633">
      <c r="E633" s="24"/>
      <c r="L633" s="25"/>
    </row>
    <row r="634">
      <c r="E634" s="24"/>
      <c r="L634" s="25"/>
    </row>
    <row r="635">
      <c r="E635" s="24"/>
      <c r="L635" s="25"/>
    </row>
    <row r="636">
      <c r="E636" s="24"/>
      <c r="L636" s="25"/>
    </row>
    <row r="637">
      <c r="E637" s="24"/>
      <c r="L637" s="25"/>
    </row>
    <row r="638">
      <c r="E638" s="24"/>
      <c r="L638" s="25"/>
    </row>
    <row r="639">
      <c r="E639" s="24"/>
      <c r="L639" s="25"/>
    </row>
    <row r="640">
      <c r="E640" s="24"/>
      <c r="L640" s="25"/>
    </row>
    <row r="641">
      <c r="E641" s="24"/>
      <c r="L641" s="25"/>
    </row>
    <row r="642">
      <c r="E642" s="24"/>
      <c r="L642" s="25"/>
    </row>
    <row r="643">
      <c r="E643" s="24"/>
      <c r="L643" s="25"/>
    </row>
    <row r="644">
      <c r="E644" s="24"/>
      <c r="L644" s="25"/>
    </row>
    <row r="645">
      <c r="E645" s="24"/>
      <c r="L645" s="25"/>
    </row>
    <row r="646">
      <c r="E646" s="24"/>
      <c r="L646" s="25"/>
    </row>
    <row r="647">
      <c r="E647" s="24"/>
      <c r="L647" s="25"/>
    </row>
    <row r="648">
      <c r="E648" s="24"/>
      <c r="L648" s="25"/>
    </row>
    <row r="649">
      <c r="E649" s="24"/>
      <c r="L649" s="25"/>
    </row>
    <row r="650">
      <c r="E650" s="24"/>
      <c r="L650" s="25"/>
    </row>
    <row r="651">
      <c r="E651" s="24"/>
      <c r="L651" s="25"/>
    </row>
    <row r="652">
      <c r="E652" s="24"/>
      <c r="L652" s="25"/>
    </row>
    <row r="653">
      <c r="E653" s="24"/>
      <c r="L653" s="25"/>
    </row>
    <row r="654">
      <c r="E654" s="24"/>
      <c r="L654" s="25"/>
    </row>
    <row r="655">
      <c r="E655" s="24"/>
      <c r="L655" s="25"/>
    </row>
    <row r="656">
      <c r="E656" s="24"/>
      <c r="L656" s="25"/>
    </row>
    <row r="657">
      <c r="E657" s="24"/>
      <c r="L657" s="25"/>
    </row>
    <row r="658">
      <c r="E658" s="24"/>
      <c r="L658" s="25"/>
    </row>
    <row r="659">
      <c r="E659" s="24"/>
      <c r="L659" s="25"/>
    </row>
    <row r="660">
      <c r="E660" s="24"/>
      <c r="L660" s="25"/>
    </row>
    <row r="661">
      <c r="E661" s="24"/>
      <c r="L661" s="25"/>
    </row>
    <row r="662">
      <c r="E662" s="24"/>
      <c r="L662" s="25"/>
    </row>
    <row r="663">
      <c r="E663" s="24"/>
      <c r="L663" s="25"/>
    </row>
    <row r="664">
      <c r="E664" s="24"/>
      <c r="L664" s="25"/>
    </row>
    <row r="665">
      <c r="E665" s="24"/>
      <c r="L665" s="25"/>
    </row>
    <row r="666">
      <c r="E666" s="24"/>
      <c r="L666" s="25"/>
    </row>
    <row r="667">
      <c r="E667" s="24"/>
      <c r="L667" s="25"/>
    </row>
    <row r="668">
      <c r="E668" s="24"/>
      <c r="L668" s="25"/>
    </row>
    <row r="669">
      <c r="E669" s="24"/>
      <c r="L669" s="25"/>
    </row>
    <row r="670">
      <c r="E670" s="24"/>
      <c r="L670" s="25"/>
    </row>
    <row r="671">
      <c r="E671" s="24"/>
      <c r="L671" s="25"/>
    </row>
    <row r="672">
      <c r="E672" s="24"/>
      <c r="L672" s="25"/>
    </row>
    <row r="673">
      <c r="E673" s="24"/>
      <c r="L673" s="25"/>
    </row>
    <row r="674">
      <c r="E674" s="24"/>
      <c r="L674" s="25"/>
    </row>
    <row r="675">
      <c r="E675" s="24"/>
      <c r="L675" s="25"/>
    </row>
    <row r="676">
      <c r="E676" s="24"/>
      <c r="L676" s="25"/>
    </row>
    <row r="677">
      <c r="E677" s="24"/>
      <c r="L677" s="25"/>
    </row>
    <row r="678">
      <c r="E678" s="24"/>
      <c r="L678" s="25"/>
    </row>
    <row r="679">
      <c r="E679" s="24"/>
      <c r="L679" s="25"/>
    </row>
    <row r="680">
      <c r="E680" s="24"/>
      <c r="L680" s="25"/>
    </row>
    <row r="681">
      <c r="E681" s="24"/>
      <c r="L681" s="25"/>
    </row>
    <row r="682">
      <c r="E682" s="24"/>
      <c r="L682" s="25"/>
    </row>
    <row r="683">
      <c r="E683" s="24"/>
      <c r="L683" s="25"/>
    </row>
    <row r="684">
      <c r="E684" s="24"/>
      <c r="L684" s="25"/>
    </row>
    <row r="685">
      <c r="E685" s="24"/>
      <c r="L685" s="25"/>
    </row>
    <row r="686">
      <c r="E686" s="24"/>
      <c r="L686" s="25"/>
    </row>
    <row r="687">
      <c r="E687" s="24"/>
      <c r="L687" s="25"/>
    </row>
    <row r="688">
      <c r="E688" s="24"/>
      <c r="L688" s="25"/>
    </row>
    <row r="689">
      <c r="E689" s="24"/>
      <c r="L689" s="25"/>
    </row>
    <row r="690">
      <c r="E690" s="24"/>
      <c r="L690" s="25"/>
    </row>
    <row r="691">
      <c r="E691" s="24"/>
      <c r="L691" s="25"/>
    </row>
    <row r="692">
      <c r="E692" s="24"/>
      <c r="L692" s="25"/>
    </row>
    <row r="693">
      <c r="E693" s="24"/>
      <c r="L693" s="25"/>
    </row>
    <row r="694">
      <c r="E694" s="24"/>
      <c r="L694" s="25"/>
    </row>
    <row r="695">
      <c r="E695" s="24"/>
      <c r="L695" s="25"/>
    </row>
    <row r="696">
      <c r="E696" s="24"/>
      <c r="L696" s="25"/>
    </row>
    <row r="697">
      <c r="E697" s="24"/>
      <c r="L697" s="25"/>
    </row>
    <row r="698">
      <c r="E698" s="24"/>
      <c r="L698" s="25"/>
    </row>
    <row r="699">
      <c r="E699" s="24"/>
      <c r="L699" s="25"/>
    </row>
    <row r="700">
      <c r="E700" s="24"/>
      <c r="L700" s="25"/>
    </row>
    <row r="701">
      <c r="E701" s="24"/>
      <c r="L701" s="25"/>
    </row>
    <row r="702">
      <c r="E702" s="24"/>
      <c r="L702" s="25"/>
    </row>
    <row r="703">
      <c r="E703" s="24"/>
      <c r="L703" s="25"/>
    </row>
    <row r="704">
      <c r="E704" s="24"/>
      <c r="L704" s="25"/>
    </row>
    <row r="705">
      <c r="E705" s="24"/>
      <c r="L705" s="25"/>
    </row>
    <row r="706">
      <c r="E706" s="24"/>
      <c r="L706" s="25"/>
    </row>
    <row r="707">
      <c r="E707" s="24"/>
      <c r="L707" s="25"/>
    </row>
    <row r="708">
      <c r="E708" s="24"/>
      <c r="L708" s="25"/>
    </row>
    <row r="709">
      <c r="E709" s="24"/>
      <c r="L709" s="25"/>
    </row>
    <row r="710">
      <c r="E710" s="24"/>
      <c r="L710" s="25"/>
    </row>
    <row r="711">
      <c r="E711" s="24"/>
      <c r="L711" s="25"/>
    </row>
    <row r="712">
      <c r="E712" s="24"/>
      <c r="L712" s="25"/>
    </row>
    <row r="713">
      <c r="E713" s="24"/>
      <c r="L713" s="25"/>
    </row>
    <row r="714">
      <c r="E714" s="24"/>
      <c r="L714" s="25"/>
    </row>
    <row r="715">
      <c r="E715" s="24"/>
      <c r="L715" s="25"/>
    </row>
    <row r="716">
      <c r="E716" s="24"/>
      <c r="L716" s="25"/>
    </row>
    <row r="717">
      <c r="E717" s="24"/>
      <c r="L717" s="25"/>
    </row>
    <row r="718">
      <c r="E718" s="24"/>
      <c r="L718" s="25"/>
    </row>
    <row r="719">
      <c r="E719" s="24"/>
      <c r="L719" s="25"/>
    </row>
    <row r="720">
      <c r="E720" s="24"/>
      <c r="L720" s="25"/>
    </row>
    <row r="721">
      <c r="E721" s="24"/>
      <c r="L721" s="25"/>
    </row>
    <row r="722">
      <c r="E722" s="24"/>
      <c r="L722" s="25"/>
    </row>
    <row r="723">
      <c r="E723" s="24"/>
      <c r="L723" s="25"/>
    </row>
    <row r="724">
      <c r="E724" s="24"/>
      <c r="L724" s="25"/>
    </row>
    <row r="725">
      <c r="E725" s="24"/>
      <c r="L725" s="25"/>
    </row>
    <row r="726">
      <c r="E726" s="24"/>
      <c r="L726" s="25"/>
    </row>
    <row r="727">
      <c r="E727" s="24"/>
      <c r="L727" s="25"/>
    </row>
    <row r="728">
      <c r="E728" s="24"/>
      <c r="L728" s="25"/>
    </row>
    <row r="729">
      <c r="E729" s="24"/>
      <c r="L729" s="25"/>
    </row>
    <row r="730">
      <c r="E730" s="24"/>
      <c r="L730" s="25"/>
    </row>
    <row r="731">
      <c r="E731" s="24"/>
      <c r="L731" s="25"/>
    </row>
    <row r="732">
      <c r="E732" s="24"/>
      <c r="L732" s="25"/>
    </row>
    <row r="733">
      <c r="E733" s="24"/>
      <c r="L733" s="25"/>
    </row>
    <row r="734">
      <c r="E734" s="24"/>
      <c r="L734" s="25"/>
    </row>
    <row r="735">
      <c r="E735" s="24"/>
      <c r="L735" s="25"/>
    </row>
    <row r="736">
      <c r="E736" s="24"/>
      <c r="L736" s="25"/>
    </row>
    <row r="737">
      <c r="E737" s="24"/>
      <c r="L737" s="25"/>
    </row>
    <row r="738">
      <c r="E738" s="24"/>
      <c r="L738" s="25"/>
    </row>
    <row r="739">
      <c r="E739" s="24"/>
      <c r="L739" s="25"/>
    </row>
    <row r="740">
      <c r="E740" s="24"/>
      <c r="L740" s="25"/>
    </row>
    <row r="741">
      <c r="E741" s="24"/>
      <c r="L741" s="25"/>
    </row>
    <row r="742">
      <c r="E742" s="24"/>
      <c r="L742" s="25"/>
    </row>
    <row r="743">
      <c r="E743" s="24"/>
      <c r="L743" s="25"/>
    </row>
    <row r="744">
      <c r="E744" s="24"/>
      <c r="L744" s="25"/>
    </row>
    <row r="745">
      <c r="E745" s="24"/>
      <c r="L745" s="25"/>
    </row>
    <row r="746">
      <c r="E746" s="24"/>
      <c r="L746" s="25"/>
    </row>
    <row r="747">
      <c r="E747" s="24"/>
      <c r="L747" s="25"/>
    </row>
    <row r="748">
      <c r="E748" s="24"/>
      <c r="L748" s="25"/>
    </row>
    <row r="749">
      <c r="E749" s="24"/>
      <c r="L749" s="25"/>
    </row>
    <row r="750">
      <c r="E750" s="24"/>
      <c r="L750" s="25"/>
    </row>
    <row r="751">
      <c r="E751" s="24"/>
      <c r="L751" s="25"/>
    </row>
    <row r="752">
      <c r="E752" s="24"/>
      <c r="L752" s="25"/>
    </row>
    <row r="753">
      <c r="E753" s="24"/>
      <c r="L753" s="25"/>
    </row>
    <row r="754">
      <c r="E754" s="24"/>
      <c r="L754" s="25"/>
    </row>
    <row r="755">
      <c r="E755" s="24"/>
      <c r="L755" s="25"/>
    </row>
    <row r="756">
      <c r="E756" s="24"/>
      <c r="L756" s="25"/>
    </row>
    <row r="757">
      <c r="E757" s="24"/>
      <c r="L757" s="25"/>
    </row>
    <row r="758">
      <c r="E758" s="24"/>
      <c r="L758" s="25"/>
    </row>
    <row r="759">
      <c r="E759" s="24"/>
      <c r="L759" s="25"/>
    </row>
    <row r="760">
      <c r="E760" s="24"/>
      <c r="L760" s="25"/>
    </row>
    <row r="761">
      <c r="E761" s="24"/>
      <c r="L761" s="25"/>
    </row>
    <row r="762">
      <c r="E762" s="24"/>
      <c r="L762" s="25"/>
    </row>
    <row r="763">
      <c r="E763" s="24"/>
      <c r="L763" s="25"/>
    </row>
    <row r="764">
      <c r="E764" s="24"/>
      <c r="L764" s="25"/>
    </row>
    <row r="765">
      <c r="E765" s="24"/>
      <c r="L765" s="25"/>
    </row>
    <row r="766">
      <c r="E766" s="24"/>
      <c r="L766" s="25"/>
    </row>
    <row r="767">
      <c r="E767" s="24"/>
      <c r="L767" s="25"/>
    </row>
    <row r="768">
      <c r="E768" s="24"/>
      <c r="L768" s="25"/>
    </row>
    <row r="769">
      <c r="E769" s="24"/>
      <c r="L769" s="25"/>
    </row>
    <row r="770">
      <c r="E770" s="24"/>
      <c r="L770" s="25"/>
    </row>
    <row r="771">
      <c r="E771" s="24"/>
      <c r="L771" s="25"/>
    </row>
    <row r="772">
      <c r="E772" s="24"/>
      <c r="L772" s="25"/>
    </row>
    <row r="773">
      <c r="E773" s="24"/>
      <c r="L773" s="25"/>
    </row>
    <row r="774">
      <c r="E774" s="24"/>
      <c r="L774" s="25"/>
    </row>
    <row r="775">
      <c r="E775" s="24"/>
      <c r="L775" s="25"/>
    </row>
    <row r="776">
      <c r="E776" s="24"/>
      <c r="L776" s="25"/>
    </row>
    <row r="777">
      <c r="E777" s="24"/>
      <c r="L777" s="25"/>
    </row>
    <row r="778">
      <c r="E778" s="24"/>
      <c r="L778" s="25"/>
    </row>
    <row r="779">
      <c r="E779" s="24"/>
      <c r="L779" s="25"/>
    </row>
    <row r="780">
      <c r="E780" s="24"/>
      <c r="L780" s="25"/>
    </row>
    <row r="781">
      <c r="E781" s="24"/>
      <c r="L781" s="25"/>
    </row>
    <row r="782">
      <c r="E782" s="24"/>
      <c r="L782" s="25"/>
    </row>
    <row r="783">
      <c r="E783" s="24"/>
      <c r="L783" s="25"/>
    </row>
    <row r="784">
      <c r="E784" s="24"/>
      <c r="L784" s="25"/>
    </row>
    <row r="785">
      <c r="E785" s="24"/>
      <c r="L785" s="25"/>
    </row>
    <row r="786">
      <c r="E786" s="24"/>
      <c r="L786" s="25"/>
    </row>
    <row r="787">
      <c r="E787" s="24"/>
      <c r="L787" s="25"/>
    </row>
    <row r="788">
      <c r="E788" s="24"/>
      <c r="L788" s="25"/>
    </row>
    <row r="789">
      <c r="E789" s="24"/>
      <c r="L789" s="25"/>
    </row>
    <row r="790">
      <c r="E790" s="24"/>
      <c r="L790" s="25"/>
    </row>
    <row r="791">
      <c r="E791" s="24"/>
      <c r="L791" s="25"/>
    </row>
    <row r="792">
      <c r="E792" s="24"/>
      <c r="L792" s="25"/>
    </row>
    <row r="793">
      <c r="E793" s="24"/>
      <c r="L793" s="25"/>
    </row>
    <row r="794">
      <c r="E794" s="24"/>
      <c r="L794" s="25"/>
    </row>
    <row r="795">
      <c r="E795" s="24"/>
      <c r="L795" s="25"/>
    </row>
    <row r="796">
      <c r="E796" s="24"/>
      <c r="L796" s="25"/>
    </row>
    <row r="797">
      <c r="E797" s="24"/>
      <c r="L797" s="25"/>
    </row>
    <row r="798">
      <c r="E798" s="24"/>
      <c r="L798" s="25"/>
    </row>
    <row r="799">
      <c r="E799" s="24"/>
      <c r="L799" s="25"/>
    </row>
    <row r="800">
      <c r="E800" s="24"/>
      <c r="L800" s="25"/>
    </row>
    <row r="801">
      <c r="E801" s="24"/>
      <c r="L801" s="25"/>
    </row>
    <row r="802">
      <c r="E802" s="24"/>
      <c r="L802" s="25"/>
    </row>
    <row r="803">
      <c r="E803" s="24"/>
      <c r="L803" s="25"/>
    </row>
    <row r="804">
      <c r="E804" s="24"/>
      <c r="L804" s="25"/>
    </row>
    <row r="805">
      <c r="E805" s="24"/>
      <c r="L805" s="25"/>
    </row>
    <row r="806">
      <c r="E806" s="24"/>
      <c r="L806" s="25"/>
    </row>
    <row r="807">
      <c r="E807" s="24"/>
      <c r="L807" s="25"/>
    </row>
    <row r="808">
      <c r="E808" s="24"/>
      <c r="L808" s="25"/>
    </row>
    <row r="809">
      <c r="E809" s="24"/>
      <c r="L809" s="25"/>
    </row>
    <row r="810">
      <c r="E810" s="24"/>
      <c r="L810" s="25"/>
    </row>
    <row r="811">
      <c r="E811" s="24"/>
      <c r="L811" s="25"/>
    </row>
    <row r="812">
      <c r="E812" s="24"/>
      <c r="L812" s="25"/>
    </row>
    <row r="813">
      <c r="E813" s="24"/>
      <c r="L813" s="25"/>
    </row>
    <row r="814">
      <c r="E814" s="24"/>
      <c r="L814" s="25"/>
    </row>
    <row r="815">
      <c r="E815" s="24"/>
      <c r="L815" s="25"/>
    </row>
    <row r="816">
      <c r="E816" s="24"/>
      <c r="L816" s="25"/>
    </row>
    <row r="817">
      <c r="E817" s="24"/>
      <c r="L817" s="25"/>
    </row>
    <row r="818">
      <c r="E818" s="24"/>
      <c r="L818" s="25"/>
    </row>
    <row r="819">
      <c r="E819" s="24"/>
      <c r="L819" s="25"/>
    </row>
    <row r="820">
      <c r="E820" s="24"/>
      <c r="L820" s="25"/>
    </row>
    <row r="821">
      <c r="E821" s="24"/>
      <c r="L821" s="25"/>
    </row>
    <row r="822">
      <c r="E822" s="24"/>
      <c r="L822" s="25"/>
    </row>
    <row r="823">
      <c r="E823" s="24"/>
      <c r="L823" s="25"/>
    </row>
    <row r="824">
      <c r="E824" s="24"/>
      <c r="L824" s="25"/>
    </row>
    <row r="825">
      <c r="E825" s="24"/>
      <c r="L825" s="25"/>
    </row>
    <row r="826">
      <c r="E826" s="24"/>
      <c r="L826" s="25"/>
    </row>
    <row r="827">
      <c r="E827" s="24"/>
      <c r="L827" s="25"/>
    </row>
    <row r="828">
      <c r="E828" s="24"/>
      <c r="L828" s="25"/>
    </row>
    <row r="829">
      <c r="E829" s="24"/>
      <c r="L829" s="25"/>
    </row>
    <row r="830">
      <c r="E830" s="24"/>
      <c r="L830" s="25"/>
    </row>
    <row r="831">
      <c r="E831" s="24"/>
      <c r="L831" s="25"/>
    </row>
    <row r="832">
      <c r="E832" s="24"/>
      <c r="L832" s="25"/>
    </row>
    <row r="833">
      <c r="E833" s="24"/>
      <c r="L833" s="25"/>
    </row>
    <row r="834">
      <c r="E834" s="24"/>
      <c r="L834" s="25"/>
    </row>
    <row r="835">
      <c r="E835" s="24"/>
      <c r="L835" s="25"/>
    </row>
    <row r="836">
      <c r="E836" s="24"/>
      <c r="L836" s="25"/>
    </row>
    <row r="837">
      <c r="E837" s="24"/>
      <c r="L837" s="25"/>
    </row>
    <row r="838">
      <c r="E838" s="24"/>
      <c r="L838" s="25"/>
    </row>
    <row r="839">
      <c r="E839" s="24"/>
      <c r="L839" s="25"/>
    </row>
    <row r="840">
      <c r="E840" s="24"/>
      <c r="L840" s="25"/>
    </row>
    <row r="841">
      <c r="E841" s="24"/>
      <c r="L841" s="25"/>
    </row>
    <row r="842">
      <c r="E842" s="24"/>
      <c r="L842" s="25"/>
    </row>
    <row r="843">
      <c r="E843" s="24"/>
      <c r="L843" s="25"/>
    </row>
    <row r="844">
      <c r="E844" s="24"/>
      <c r="L844" s="25"/>
    </row>
    <row r="845">
      <c r="E845" s="24"/>
      <c r="L845" s="25"/>
    </row>
    <row r="846">
      <c r="E846" s="24"/>
      <c r="L846" s="25"/>
    </row>
    <row r="847">
      <c r="E847" s="24"/>
      <c r="L847" s="25"/>
    </row>
    <row r="848">
      <c r="E848" s="24"/>
      <c r="L848" s="25"/>
    </row>
    <row r="849">
      <c r="E849" s="24"/>
      <c r="L849" s="25"/>
    </row>
    <row r="850">
      <c r="E850" s="24"/>
      <c r="L850" s="25"/>
    </row>
    <row r="851">
      <c r="E851" s="24"/>
      <c r="L851" s="25"/>
    </row>
    <row r="852">
      <c r="E852" s="24"/>
      <c r="L852" s="25"/>
    </row>
    <row r="853">
      <c r="E853" s="24"/>
      <c r="L853" s="25"/>
    </row>
    <row r="854">
      <c r="E854" s="24"/>
      <c r="L854" s="25"/>
    </row>
    <row r="855">
      <c r="E855" s="24"/>
      <c r="L855" s="25"/>
    </row>
    <row r="856">
      <c r="E856" s="24"/>
      <c r="L856" s="25"/>
    </row>
    <row r="857">
      <c r="E857" s="24"/>
      <c r="L857" s="25"/>
    </row>
    <row r="858">
      <c r="E858" s="24"/>
      <c r="L858" s="25"/>
    </row>
    <row r="859">
      <c r="E859" s="24"/>
      <c r="L859" s="25"/>
    </row>
    <row r="860">
      <c r="E860" s="24"/>
      <c r="L860" s="25"/>
    </row>
    <row r="861">
      <c r="E861" s="24"/>
      <c r="L861" s="25"/>
    </row>
    <row r="862">
      <c r="E862" s="24"/>
      <c r="L862" s="25"/>
    </row>
    <row r="863">
      <c r="E863" s="24"/>
      <c r="L863" s="25"/>
    </row>
    <row r="864">
      <c r="E864" s="24"/>
      <c r="L864" s="25"/>
    </row>
    <row r="865">
      <c r="E865" s="24"/>
      <c r="L865" s="25"/>
    </row>
    <row r="866">
      <c r="E866" s="24"/>
      <c r="L866" s="25"/>
    </row>
    <row r="867">
      <c r="E867" s="24"/>
      <c r="L867" s="25"/>
    </row>
    <row r="868">
      <c r="E868" s="24"/>
      <c r="L868" s="25"/>
    </row>
    <row r="869">
      <c r="E869" s="24"/>
      <c r="L869" s="25"/>
    </row>
    <row r="870">
      <c r="E870" s="24"/>
      <c r="L870" s="25"/>
    </row>
    <row r="871">
      <c r="E871" s="24"/>
      <c r="L871" s="25"/>
    </row>
    <row r="872">
      <c r="E872" s="24"/>
      <c r="L872" s="25"/>
    </row>
    <row r="873">
      <c r="E873" s="24"/>
      <c r="L873" s="25"/>
    </row>
    <row r="874">
      <c r="E874" s="24"/>
      <c r="L874" s="25"/>
    </row>
    <row r="875">
      <c r="E875" s="24"/>
      <c r="L875" s="25"/>
    </row>
    <row r="876">
      <c r="E876" s="24"/>
      <c r="L876" s="25"/>
    </row>
    <row r="877">
      <c r="E877" s="24"/>
      <c r="L877" s="25"/>
    </row>
    <row r="878">
      <c r="E878" s="24"/>
      <c r="L878" s="25"/>
    </row>
    <row r="879">
      <c r="E879" s="24"/>
      <c r="L879" s="25"/>
    </row>
    <row r="880">
      <c r="E880" s="24"/>
      <c r="L880" s="25"/>
    </row>
    <row r="881">
      <c r="E881" s="24"/>
      <c r="L881" s="25"/>
    </row>
    <row r="882">
      <c r="E882" s="24"/>
      <c r="L882" s="25"/>
    </row>
    <row r="883">
      <c r="E883" s="24"/>
      <c r="L883" s="25"/>
    </row>
    <row r="884">
      <c r="E884" s="24"/>
      <c r="L884" s="25"/>
    </row>
    <row r="885">
      <c r="E885" s="24"/>
      <c r="L885" s="25"/>
    </row>
    <row r="886">
      <c r="E886" s="24"/>
      <c r="L886" s="25"/>
    </row>
    <row r="887">
      <c r="E887" s="24"/>
      <c r="L887" s="25"/>
    </row>
    <row r="888">
      <c r="E888" s="24"/>
      <c r="L888" s="25"/>
    </row>
    <row r="889">
      <c r="E889" s="24"/>
      <c r="L889" s="25"/>
    </row>
    <row r="890">
      <c r="E890" s="24"/>
      <c r="L890" s="25"/>
    </row>
    <row r="891">
      <c r="E891" s="24"/>
      <c r="L891" s="25"/>
    </row>
    <row r="892">
      <c r="E892" s="24"/>
      <c r="L892" s="25"/>
    </row>
    <row r="893">
      <c r="E893" s="24"/>
      <c r="L893" s="25"/>
    </row>
    <row r="894">
      <c r="E894" s="24"/>
      <c r="L894" s="25"/>
    </row>
    <row r="895">
      <c r="E895" s="24"/>
      <c r="L895" s="25"/>
    </row>
    <row r="896">
      <c r="E896" s="24"/>
      <c r="L896" s="25"/>
    </row>
    <row r="897">
      <c r="E897" s="24"/>
      <c r="L897" s="25"/>
    </row>
    <row r="898">
      <c r="E898" s="24"/>
      <c r="L898" s="25"/>
    </row>
    <row r="899">
      <c r="E899" s="24"/>
      <c r="L899" s="25"/>
    </row>
    <row r="900">
      <c r="E900" s="24"/>
      <c r="L900" s="25"/>
    </row>
    <row r="901">
      <c r="E901" s="24"/>
      <c r="L901" s="25"/>
    </row>
    <row r="902">
      <c r="E902" s="24"/>
      <c r="L902" s="25"/>
    </row>
    <row r="903">
      <c r="E903" s="24"/>
      <c r="L903" s="25"/>
    </row>
    <row r="904">
      <c r="E904" s="24"/>
      <c r="L904" s="25"/>
    </row>
    <row r="905">
      <c r="E905" s="24"/>
      <c r="L905" s="25"/>
    </row>
    <row r="906">
      <c r="E906" s="24"/>
      <c r="L906" s="25"/>
    </row>
    <row r="907">
      <c r="E907" s="24"/>
      <c r="L907" s="25"/>
    </row>
    <row r="908">
      <c r="E908" s="24"/>
      <c r="L908" s="25"/>
    </row>
    <row r="909">
      <c r="E909" s="24"/>
      <c r="L909" s="25"/>
    </row>
    <row r="910">
      <c r="E910" s="24"/>
      <c r="L910" s="25"/>
    </row>
    <row r="911">
      <c r="E911" s="24"/>
      <c r="L911" s="25"/>
    </row>
    <row r="912">
      <c r="E912" s="24"/>
      <c r="L912" s="25"/>
    </row>
    <row r="913">
      <c r="E913" s="24"/>
      <c r="L913" s="25"/>
    </row>
    <row r="914">
      <c r="E914" s="24"/>
      <c r="L914" s="25"/>
    </row>
    <row r="915">
      <c r="E915" s="24"/>
      <c r="L915" s="25"/>
    </row>
    <row r="916">
      <c r="E916" s="24"/>
      <c r="L916" s="25"/>
    </row>
    <row r="917">
      <c r="E917" s="24"/>
      <c r="L917" s="25"/>
    </row>
    <row r="918">
      <c r="E918" s="24"/>
      <c r="L918" s="25"/>
    </row>
    <row r="919">
      <c r="E919" s="24"/>
      <c r="L919" s="25"/>
    </row>
    <row r="920">
      <c r="E920" s="24"/>
      <c r="L920" s="25"/>
    </row>
    <row r="921">
      <c r="E921" s="24"/>
      <c r="L921" s="25"/>
    </row>
    <row r="922">
      <c r="E922" s="24"/>
      <c r="L922" s="25"/>
    </row>
    <row r="923">
      <c r="E923" s="24"/>
      <c r="L923" s="25"/>
    </row>
    <row r="924">
      <c r="E924" s="24"/>
      <c r="L924" s="25"/>
    </row>
    <row r="925">
      <c r="E925" s="24"/>
      <c r="L925" s="25"/>
    </row>
    <row r="926">
      <c r="E926" s="24"/>
      <c r="L926" s="25"/>
    </row>
    <row r="927">
      <c r="E927" s="24"/>
      <c r="L927" s="25"/>
    </row>
    <row r="928">
      <c r="E928" s="24"/>
      <c r="L928" s="25"/>
    </row>
    <row r="929">
      <c r="E929" s="24"/>
      <c r="L929" s="25"/>
    </row>
    <row r="930">
      <c r="E930" s="24"/>
      <c r="L930" s="25"/>
    </row>
    <row r="931">
      <c r="E931" s="24"/>
      <c r="L931" s="25"/>
    </row>
    <row r="932">
      <c r="E932" s="24"/>
      <c r="L932" s="25"/>
    </row>
    <row r="933">
      <c r="E933" s="24"/>
      <c r="L933" s="25"/>
    </row>
    <row r="934">
      <c r="E934" s="24"/>
      <c r="L934" s="25"/>
    </row>
    <row r="935">
      <c r="E935" s="24"/>
      <c r="L935" s="25"/>
    </row>
    <row r="936">
      <c r="E936" s="24"/>
      <c r="L936" s="25"/>
    </row>
    <row r="937">
      <c r="E937" s="24"/>
      <c r="L937" s="25"/>
    </row>
    <row r="938">
      <c r="E938" s="24"/>
      <c r="L938" s="25"/>
    </row>
    <row r="939">
      <c r="E939" s="24"/>
      <c r="L939" s="25"/>
    </row>
    <row r="940">
      <c r="E940" s="24"/>
      <c r="L940" s="25"/>
    </row>
    <row r="941">
      <c r="E941" s="24"/>
      <c r="L941" s="25"/>
    </row>
    <row r="942">
      <c r="E942" s="24"/>
      <c r="L942" s="25"/>
    </row>
    <row r="943">
      <c r="E943" s="24"/>
      <c r="L943" s="25"/>
    </row>
    <row r="944">
      <c r="E944" s="24"/>
      <c r="L944" s="25"/>
    </row>
    <row r="945">
      <c r="E945" s="24"/>
      <c r="L945" s="25"/>
    </row>
    <row r="946">
      <c r="E946" s="24"/>
      <c r="L946" s="25"/>
    </row>
    <row r="947">
      <c r="E947" s="24"/>
      <c r="L947" s="25"/>
    </row>
    <row r="948">
      <c r="E948" s="24"/>
      <c r="L948" s="25"/>
    </row>
    <row r="949">
      <c r="E949" s="24"/>
      <c r="L949" s="25"/>
    </row>
    <row r="950">
      <c r="E950" s="24"/>
      <c r="L950" s="25"/>
    </row>
    <row r="951">
      <c r="E951" s="24"/>
      <c r="L951" s="25"/>
    </row>
    <row r="952">
      <c r="E952" s="24"/>
      <c r="L952" s="25"/>
    </row>
    <row r="953">
      <c r="E953" s="24"/>
      <c r="L953" s="25"/>
    </row>
    <row r="954">
      <c r="E954" s="24"/>
      <c r="L954" s="25"/>
    </row>
    <row r="955">
      <c r="E955" s="24"/>
      <c r="L955" s="25"/>
    </row>
    <row r="956">
      <c r="E956" s="24"/>
      <c r="L956" s="25"/>
    </row>
    <row r="957">
      <c r="E957" s="24"/>
      <c r="L957" s="25"/>
    </row>
    <row r="958">
      <c r="E958" s="24"/>
      <c r="L958" s="25"/>
    </row>
    <row r="959">
      <c r="E959" s="24"/>
      <c r="L959" s="25"/>
    </row>
    <row r="960">
      <c r="E960" s="24"/>
      <c r="L960" s="25"/>
    </row>
    <row r="961">
      <c r="E961" s="24"/>
      <c r="L961" s="25"/>
    </row>
    <row r="962">
      <c r="E962" s="24"/>
      <c r="L962" s="25"/>
    </row>
    <row r="963">
      <c r="E963" s="24"/>
      <c r="L963" s="25"/>
    </row>
    <row r="964">
      <c r="E964" s="24"/>
      <c r="L964" s="25"/>
    </row>
    <row r="965">
      <c r="E965" s="24"/>
      <c r="L965" s="25"/>
    </row>
    <row r="966">
      <c r="E966" s="24"/>
      <c r="L966" s="25"/>
    </row>
    <row r="967">
      <c r="E967" s="24"/>
      <c r="L967" s="25"/>
    </row>
    <row r="968">
      <c r="E968" s="24"/>
      <c r="L968" s="25"/>
    </row>
    <row r="969">
      <c r="E969" s="24"/>
      <c r="L969" s="25"/>
    </row>
    <row r="970">
      <c r="E970" s="24"/>
      <c r="L970" s="25"/>
    </row>
    <row r="971">
      <c r="E971" s="24"/>
      <c r="L971" s="25"/>
    </row>
    <row r="972">
      <c r="E972" s="24"/>
      <c r="L972" s="25"/>
    </row>
    <row r="973">
      <c r="E973" s="24"/>
      <c r="L973" s="25"/>
    </row>
    <row r="974">
      <c r="E974" s="24"/>
      <c r="L974" s="25"/>
    </row>
    <row r="975">
      <c r="E975" s="24"/>
      <c r="L975" s="25"/>
    </row>
    <row r="976">
      <c r="E976" s="24"/>
      <c r="L976" s="25"/>
    </row>
    <row r="977">
      <c r="E977" s="24"/>
      <c r="L977" s="25"/>
    </row>
    <row r="978">
      <c r="E978" s="24"/>
      <c r="L978" s="25"/>
    </row>
    <row r="979">
      <c r="E979" s="24"/>
      <c r="L979" s="25"/>
    </row>
    <row r="980">
      <c r="E980" s="24"/>
      <c r="L980" s="25"/>
    </row>
    <row r="981">
      <c r="E981" s="24"/>
      <c r="L981" s="25"/>
    </row>
    <row r="982">
      <c r="E982" s="24"/>
      <c r="L982" s="25"/>
    </row>
    <row r="983">
      <c r="E983" s="24"/>
      <c r="L983" s="25"/>
    </row>
    <row r="984">
      <c r="E984" s="24"/>
      <c r="L984" s="25"/>
    </row>
    <row r="985">
      <c r="E985" s="24"/>
      <c r="L985" s="25"/>
    </row>
    <row r="986">
      <c r="E986" s="24"/>
      <c r="L986" s="25"/>
    </row>
    <row r="987">
      <c r="E987" s="24"/>
      <c r="L987" s="25"/>
    </row>
    <row r="988">
      <c r="E988" s="24"/>
      <c r="L988" s="25"/>
    </row>
    <row r="989">
      <c r="E989" s="24"/>
      <c r="L989" s="25"/>
    </row>
    <row r="990">
      <c r="E990" s="24"/>
      <c r="L990" s="25"/>
    </row>
    <row r="991">
      <c r="E991" s="24"/>
      <c r="L991" s="25"/>
    </row>
    <row r="992">
      <c r="E992" s="24"/>
      <c r="L992" s="25"/>
    </row>
    <row r="993">
      <c r="E993" s="24"/>
      <c r="L993" s="25"/>
    </row>
    <row r="994">
      <c r="E994" s="24"/>
      <c r="L994" s="25"/>
    </row>
  </sheetData>
  <conditionalFormatting sqref="A2:A14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